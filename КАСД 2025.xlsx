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#\"/>
    </mc:Choice>
  </mc:AlternateContent>
  <xr:revisionPtr revIDLastSave="0" documentId="8_{C9CCF647-D7EE-4FE3-8E61-580F9A34D038}" xr6:coauthVersionLast="47" xr6:coauthVersionMax="47" xr10:uidLastSave="{00000000-0000-0000-0000-000000000000}"/>
  <bookViews>
    <workbookView xWindow="-108" yWindow="-108" windowWidth="23256" windowHeight="12576" xr2:uid="{E70E0FD6-B892-42A3-BD6F-2CB292611FBA}"/>
  </bookViews>
  <sheets>
    <sheet name="ФИ21_1" sheetId="1" r:id="rId1"/>
    <sheet name="ФИ21_2" sheetId="2" r:id="rId2"/>
    <sheet name="ФИ22_1" sheetId="5" r:id="rId3"/>
    <sheet name="ФИ22_2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Z18" i="6" l="1"/>
  <c r="CY18" i="6"/>
  <c r="CX18" i="6"/>
  <c r="CW18" i="6"/>
  <c r="CV18" i="6"/>
  <c r="DA18" i="6" s="1"/>
  <c r="CU18" i="6"/>
  <c r="CZ17" i="6"/>
  <c r="DA17" i="6" s="1"/>
  <c r="CY17" i="6"/>
  <c r="CX17" i="6"/>
  <c r="CW17" i="6"/>
  <c r="CV17" i="6"/>
  <c r="CU17" i="6"/>
  <c r="CZ16" i="6"/>
  <c r="CY16" i="6"/>
  <c r="CX16" i="6"/>
  <c r="CW16" i="6"/>
  <c r="CV16" i="6"/>
  <c r="CU16" i="6"/>
  <c r="CZ15" i="6"/>
  <c r="CY15" i="6"/>
  <c r="CX15" i="6"/>
  <c r="CW15" i="6"/>
  <c r="CV15" i="6"/>
  <c r="CU15" i="6"/>
  <c r="CZ14" i="6"/>
  <c r="CY14" i="6"/>
  <c r="CX14" i="6"/>
  <c r="CW14" i="6"/>
  <c r="CV14" i="6"/>
  <c r="CU14" i="6"/>
  <c r="CZ13" i="6"/>
  <c r="CY13" i="6"/>
  <c r="CX13" i="6"/>
  <c r="CW13" i="6"/>
  <c r="CV13" i="6"/>
  <c r="CU13" i="6"/>
  <c r="CZ12" i="6"/>
  <c r="CY12" i="6"/>
  <c r="CX12" i="6"/>
  <c r="CW12" i="6"/>
  <c r="CV12" i="6"/>
  <c r="CU12" i="6"/>
  <c r="CZ11" i="6"/>
  <c r="CY11" i="6"/>
  <c r="CX11" i="6"/>
  <c r="CW11" i="6"/>
  <c r="CV11" i="6"/>
  <c r="CU11" i="6"/>
  <c r="CZ10" i="6"/>
  <c r="CY10" i="6"/>
  <c r="CX10" i="6"/>
  <c r="CW10" i="6"/>
  <c r="CV10" i="6"/>
  <c r="DA10" i="6" s="1"/>
  <c r="CU10" i="6"/>
  <c r="CZ9" i="6"/>
  <c r="CY9" i="6"/>
  <c r="CX9" i="6"/>
  <c r="CW9" i="6"/>
  <c r="CV9" i="6"/>
  <c r="CU9" i="6"/>
  <c r="CZ8" i="6"/>
  <c r="CY8" i="6"/>
  <c r="DA8" i="6" s="1"/>
  <c r="CX8" i="6"/>
  <c r="CW8" i="6"/>
  <c r="CV8" i="6"/>
  <c r="CU8" i="6"/>
  <c r="CZ7" i="6"/>
  <c r="CY7" i="6"/>
  <c r="CX7" i="6"/>
  <c r="CW7" i="6"/>
  <c r="CV7" i="6"/>
  <c r="CU7" i="6"/>
  <c r="CZ6" i="6"/>
  <c r="CY6" i="6"/>
  <c r="CX6" i="6"/>
  <c r="CW6" i="6"/>
  <c r="CV6" i="6"/>
  <c r="CU6" i="6"/>
  <c r="CZ5" i="6"/>
  <c r="CY5" i="6"/>
  <c r="CX5" i="6"/>
  <c r="CW5" i="6"/>
  <c r="CV5" i="6"/>
  <c r="CU5" i="6"/>
  <c r="CZ4" i="6"/>
  <c r="CY4" i="6"/>
  <c r="CX4" i="6"/>
  <c r="CW4" i="6"/>
  <c r="CV4" i="6"/>
  <c r="CU4" i="6"/>
  <c r="CZ19" i="5"/>
  <c r="CY19" i="5"/>
  <c r="CX19" i="5"/>
  <c r="CW19" i="5"/>
  <c r="CV19" i="5"/>
  <c r="CU19" i="5"/>
  <c r="CZ18" i="5"/>
  <c r="CY18" i="5"/>
  <c r="CX18" i="5"/>
  <c r="CW18" i="5"/>
  <c r="CV18" i="5"/>
  <c r="CU18" i="5"/>
  <c r="CZ17" i="5"/>
  <c r="CY17" i="5"/>
  <c r="CX17" i="5"/>
  <c r="CW17" i="5"/>
  <c r="DA17" i="5" s="1"/>
  <c r="CV17" i="5"/>
  <c r="CU17" i="5"/>
  <c r="CZ16" i="5"/>
  <c r="CY16" i="5"/>
  <c r="CX16" i="5"/>
  <c r="CW16" i="5"/>
  <c r="CV16" i="5"/>
  <c r="DA16" i="5" s="1"/>
  <c r="CU16" i="5"/>
  <c r="CZ15" i="5"/>
  <c r="CY15" i="5"/>
  <c r="CX15" i="5"/>
  <c r="CW15" i="5"/>
  <c r="CV15" i="5"/>
  <c r="CU15" i="5"/>
  <c r="CZ14" i="5"/>
  <c r="CY14" i="5"/>
  <c r="CX14" i="5"/>
  <c r="CW14" i="5"/>
  <c r="CV14" i="5"/>
  <c r="CU14" i="5"/>
  <c r="CZ13" i="5"/>
  <c r="CY13" i="5"/>
  <c r="CX13" i="5"/>
  <c r="DA13" i="5" s="1"/>
  <c r="CW13" i="5"/>
  <c r="CV13" i="5"/>
  <c r="CU13" i="5"/>
  <c r="CZ12" i="5"/>
  <c r="CY12" i="5"/>
  <c r="CX12" i="5"/>
  <c r="CW12" i="5"/>
  <c r="CV12" i="5"/>
  <c r="DA12" i="5" s="1"/>
  <c r="CU12" i="5"/>
  <c r="CZ11" i="5"/>
  <c r="CY11" i="5"/>
  <c r="CX11" i="5"/>
  <c r="CW11" i="5"/>
  <c r="CV11" i="5"/>
  <c r="CU11" i="5"/>
  <c r="CZ10" i="5"/>
  <c r="CY10" i="5"/>
  <c r="CX10" i="5"/>
  <c r="CW10" i="5"/>
  <c r="CV10" i="5"/>
  <c r="CU10" i="5"/>
  <c r="CZ9" i="5"/>
  <c r="CY9" i="5"/>
  <c r="CX9" i="5"/>
  <c r="CW9" i="5"/>
  <c r="CV9" i="5"/>
  <c r="CU9" i="5"/>
  <c r="CZ8" i="5"/>
  <c r="CY8" i="5"/>
  <c r="CX8" i="5"/>
  <c r="CW8" i="5"/>
  <c r="DA8" i="5" s="1"/>
  <c r="CV8" i="5"/>
  <c r="CU8" i="5"/>
  <c r="CZ7" i="5"/>
  <c r="CY7" i="5"/>
  <c r="CX7" i="5"/>
  <c r="CW7" i="5"/>
  <c r="CV7" i="5"/>
  <c r="CU7" i="5"/>
  <c r="DA7" i="5" s="1"/>
  <c r="CZ6" i="5"/>
  <c r="CY6" i="5"/>
  <c r="CX6" i="5"/>
  <c r="CW6" i="5"/>
  <c r="CV6" i="5"/>
  <c r="CU6" i="5"/>
  <c r="CZ5" i="5"/>
  <c r="CY5" i="5"/>
  <c r="CX5" i="5"/>
  <c r="CW5" i="5"/>
  <c r="CV5" i="5"/>
  <c r="CU5" i="5"/>
  <c r="CZ4" i="5"/>
  <c r="CY4" i="5"/>
  <c r="CX4" i="5"/>
  <c r="CW4" i="5"/>
  <c r="CV4" i="5"/>
  <c r="CU4" i="5"/>
  <c r="CZ19" i="2"/>
  <c r="CY19" i="2"/>
  <c r="CX19" i="2"/>
  <c r="CW19" i="2"/>
  <c r="CV19" i="2"/>
  <c r="CU19" i="2"/>
  <c r="CZ18" i="2"/>
  <c r="CY18" i="2"/>
  <c r="CX18" i="2"/>
  <c r="CW18" i="2"/>
  <c r="CV18" i="2"/>
  <c r="CU18" i="2"/>
  <c r="CZ17" i="2"/>
  <c r="CY17" i="2"/>
  <c r="CX17" i="2"/>
  <c r="CW17" i="2"/>
  <c r="CV17" i="2"/>
  <c r="DA17" i="2" s="1"/>
  <c r="CU17" i="2"/>
  <c r="CZ16" i="2"/>
  <c r="CY16" i="2"/>
  <c r="CX16" i="2"/>
  <c r="CW16" i="2"/>
  <c r="CV16" i="2"/>
  <c r="CU16" i="2"/>
  <c r="CZ15" i="2"/>
  <c r="CY15" i="2"/>
  <c r="CX15" i="2"/>
  <c r="CW15" i="2"/>
  <c r="CV15" i="2"/>
  <c r="CU15" i="2"/>
  <c r="CZ14" i="2"/>
  <c r="CY14" i="2"/>
  <c r="CX14" i="2"/>
  <c r="CW14" i="2"/>
  <c r="CV14" i="2"/>
  <c r="CU14" i="2"/>
  <c r="CZ13" i="2"/>
  <c r="CY13" i="2"/>
  <c r="CX13" i="2"/>
  <c r="CW13" i="2"/>
  <c r="CV13" i="2"/>
  <c r="CU13" i="2"/>
  <c r="CZ12" i="2"/>
  <c r="CY12" i="2"/>
  <c r="CX12" i="2"/>
  <c r="CW12" i="2"/>
  <c r="CV12" i="2"/>
  <c r="CU12" i="2"/>
  <c r="DA12" i="2" s="1"/>
  <c r="CZ11" i="2"/>
  <c r="CY11" i="2"/>
  <c r="CX11" i="2"/>
  <c r="CW11" i="2"/>
  <c r="CV11" i="2"/>
  <c r="CU11" i="2"/>
  <c r="DA11" i="2" s="1"/>
  <c r="CZ10" i="2"/>
  <c r="CY10" i="2"/>
  <c r="CX10" i="2"/>
  <c r="CW10" i="2"/>
  <c r="CV10" i="2"/>
  <c r="CU10" i="2"/>
  <c r="CZ9" i="2"/>
  <c r="CY9" i="2"/>
  <c r="CX9" i="2"/>
  <c r="CW9" i="2"/>
  <c r="CV9" i="2"/>
  <c r="DA9" i="2" s="1"/>
  <c r="CU9" i="2"/>
  <c r="CZ8" i="2"/>
  <c r="CY8" i="2"/>
  <c r="CX8" i="2"/>
  <c r="CW8" i="2"/>
  <c r="CV8" i="2"/>
  <c r="CU8" i="2"/>
  <c r="CZ7" i="2"/>
  <c r="CY7" i="2"/>
  <c r="CX7" i="2"/>
  <c r="CW7" i="2"/>
  <c r="CV7" i="2"/>
  <c r="CU7" i="2"/>
  <c r="CZ6" i="2"/>
  <c r="CY6" i="2"/>
  <c r="CX6" i="2"/>
  <c r="CW6" i="2"/>
  <c r="CV6" i="2"/>
  <c r="CU6" i="2"/>
  <c r="CZ5" i="2"/>
  <c r="CY5" i="2"/>
  <c r="CX5" i="2"/>
  <c r="CW5" i="2"/>
  <c r="CV5" i="2"/>
  <c r="CU5" i="2"/>
  <c r="CZ4" i="2"/>
  <c r="CY4" i="2"/>
  <c r="CX4" i="2"/>
  <c r="CW4" i="2"/>
  <c r="CV4" i="2"/>
  <c r="CU4" i="2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4" i="1"/>
  <c r="CY5" i="1"/>
  <c r="CZ5" i="1"/>
  <c r="CY6" i="1"/>
  <c r="CZ6" i="1"/>
  <c r="CY7" i="1"/>
  <c r="CZ7" i="1"/>
  <c r="CY8" i="1"/>
  <c r="CZ8" i="1"/>
  <c r="CY9" i="1"/>
  <c r="CZ9" i="1"/>
  <c r="CY10" i="1"/>
  <c r="CZ10" i="1"/>
  <c r="CY11" i="1"/>
  <c r="CZ11" i="1"/>
  <c r="CY12" i="1"/>
  <c r="CZ12" i="1"/>
  <c r="CY13" i="1"/>
  <c r="CZ13" i="1"/>
  <c r="CY14" i="1"/>
  <c r="CZ14" i="1"/>
  <c r="CY15" i="1"/>
  <c r="CZ15" i="1"/>
  <c r="CY16" i="1"/>
  <c r="CZ16" i="1"/>
  <c r="CY17" i="1"/>
  <c r="CZ17" i="1"/>
  <c r="CY18" i="1"/>
  <c r="CZ18" i="1"/>
  <c r="CY19" i="1"/>
  <c r="CZ19" i="1"/>
  <c r="CZ4" i="1"/>
  <c r="CY4" i="1"/>
  <c r="CX4" i="1"/>
  <c r="CU5" i="1"/>
  <c r="CU6" i="1"/>
  <c r="CU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4" i="1"/>
  <c r="CV4" i="1"/>
  <c r="CW4" i="1"/>
  <c r="CV5" i="1"/>
  <c r="CW5" i="1"/>
  <c r="CX5" i="1"/>
  <c r="CV6" i="1"/>
  <c r="CW6" i="1"/>
  <c r="CX6" i="1"/>
  <c r="CV7" i="1"/>
  <c r="CW7" i="1"/>
  <c r="CX7" i="1"/>
  <c r="CV8" i="1"/>
  <c r="CW8" i="1"/>
  <c r="CX8" i="1"/>
  <c r="CV9" i="1"/>
  <c r="CW9" i="1"/>
  <c r="CX9" i="1"/>
  <c r="CV10" i="1"/>
  <c r="CW10" i="1"/>
  <c r="CX10" i="1"/>
  <c r="CV11" i="1"/>
  <c r="CW11" i="1"/>
  <c r="CX11" i="1"/>
  <c r="CV12" i="1"/>
  <c r="CW12" i="1"/>
  <c r="CX12" i="1"/>
  <c r="CV13" i="1"/>
  <c r="CW13" i="1"/>
  <c r="CX13" i="1"/>
  <c r="CV14" i="1"/>
  <c r="CW14" i="1"/>
  <c r="CX14" i="1"/>
  <c r="CV15" i="1"/>
  <c r="CW15" i="1"/>
  <c r="CX15" i="1"/>
  <c r="CV16" i="1"/>
  <c r="CW16" i="1"/>
  <c r="CX16" i="1"/>
  <c r="CV17" i="1"/>
  <c r="CW17" i="1"/>
  <c r="CX17" i="1"/>
  <c r="CV18" i="1"/>
  <c r="CW18" i="1"/>
  <c r="CX18" i="1"/>
  <c r="CV19" i="1"/>
  <c r="CW19" i="1"/>
  <c r="CX19" i="1"/>
  <c r="DA5" i="6" l="1"/>
  <c r="DA14" i="6"/>
  <c r="DA6" i="6"/>
  <c r="DA4" i="6"/>
  <c r="DA13" i="6"/>
  <c r="DA16" i="6"/>
  <c r="DA12" i="6"/>
  <c r="DA7" i="6"/>
  <c r="DA15" i="6"/>
  <c r="DA9" i="6"/>
  <c r="DA11" i="6"/>
  <c r="DA10" i="5"/>
  <c r="DA18" i="5"/>
  <c r="DA14" i="5"/>
  <c r="DA4" i="5"/>
  <c r="DA5" i="5"/>
  <c r="DA9" i="5"/>
  <c r="DA11" i="5"/>
  <c r="DA15" i="5"/>
  <c r="DA6" i="5"/>
  <c r="DA19" i="5"/>
  <c r="DA4" i="2"/>
  <c r="DA14" i="2"/>
  <c r="DA13" i="2"/>
  <c r="DA6" i="2"/>
  <c r="DA19" i="2"/>
  <c r="DA8" i="2"/>
  <c r="DA10" i="2"/>
  <c r="DA7" i="2"/>
  <c r="DA16" i="2"/>
  <c r="DA18" i="2"/>
  <c r="DA5" i="2"/>
  <c r="DA15" i="2"/>
</calcChain>
</file>

<file path=xl/sharedStrings.xml><?xml version="1.0" encoding="utf-8"?>
<sst xmlns="http://schemas.openxmlformats.org/spreadsheetml/2006/main" count="131" uniqueCount="75">
  <si>
    <t>№</t>
  </si>
  <si>
    <t>ФИО</t>
  </si>
  <si>
    <t>гит</t>
  </si>
  <si>
    <t>Алексеева Анастасия Владимировна</t>
  </si>
  <si>
    <t>Веременко Вадим Евгеньевич</t>
  </si>
  <si>
    <t>Репьюк Сергей Алексеевич</t>
  </si>
  <si>
    <t>Дьякова Мария Александровна</t>
  </si>
  <si>
    <t>Замлынный Иван Сергеевич</t>
  </si>
  <si>
    <t>Кочеткова Анна Константиновна</t>
  </si>
  <si>
    <t>Кузнецов Александр Михайлович</t>
  </si>
  <si>
    <t>Литвиненко Павел Николаевич</t>
  </si>
  <si>
    <t>Мокров Дмитрий Васильевич</t>
  </si>
  <si>
    <t>Нгуен Оксана Тханьевна</t>
  </si>
  <si>
    <t>Николаева Виктория Александровна</t>
  </si>
  <si>
    <t>Полтавская Анастасия Андреевна</t>
  </si>
  <si>
    <t>Прохоров Михаил Алексеевич</t>
  </si>
  <si>
    <t>Степуленко Кирилл Алексеевич</t>
  </si>
  <si>
    <t>Токарева Дарья Сергеевна</t>
  </si>
  <si>
    <t>Шидловский Андрей Евгеньевич</t>
  </si>
  <si>
    <t>Амиров Юрий Геннадьевич</t>
  </si>
  <si>
    <t>Голубев Вячеслав Игоревич</t>
  </si>
  <si>
    <t>Гутин Александр Юрьевич</t>
  </si>
  <si>
    <t>Дубровицкая София Дмитриевна</t>
  </si>
  <si>
    <t>Дырзу Иван Сергеевич</t>
  </si>
  <si>
    <t>Зиброва Анастасия Ивановна</t>
  </si>
  <si>
    <t>Клочко Тимофей Константинович</t>
  </si>
  <si>
    <t>Колесников Степан Алексеевич</t>
  </si>
  <si>
    <t>Лазарова Арина Николаевна</t>
  </si>
  <si>
    <t>Малыхина Виктория Олеговна</t>
  </si>
  <si>
    <t xml:space="preserve">Мацкевич Дарья Олеговна </t>
  </si>
  <si>
    <t>Никуличев Ярослав Юрьевич</t>
  </si>
  <si>
    <t>Рыженко Егор Максимович</t>
  </si>
  <si>
    <t>Сальников Даниил Игоревич</t>
  </si>
  <si>
    <t>Свертокина Валерия Андреевна</t>
  </si>
  <si>
    <t>Чеченева Алина Сергеевна</t>
  </si>
  <si>
    <t>ЛР</t>
  </si>
  <si>
    <t>З-чи</t>
  </si>
  <si>
    <t>К-сты</t>
  </si>
  <si>
    <t>К-виум</t>
  </si>
  <si>
    <t>Экз-н</t>
  </si>
  <si>
    <t>Пос-ть лаб.</t>
  </si>
  <si>
    <t>Пос-ть лек.</t>
  </si>
  <si>
    <t>Пос-ть</t>
  </si>
  <si>
    <t>Итог</t>
  </si>
  <si>
    <t>Абреч Салим Аскерович</t>
  </si>
  <si>
    <t>Бацун Егор Романович</t>
  </si>
  <si>
    <t>Гришин Матвей Александрович</t>
  </si>
  <si>
    <t>Грушков Артём Эдуардович</t>
  </si>
  <si>
    <t>Гусаков Максим Денисович</t>
  </si>
  <si>
    <t>Карелина Елена Евгеньевна</t>
  </si>
  <si>
    <t>Кассис Мария Хани</t>
  </si>
  <si>
    <t>Коваленко Егор Андреевич</t>
  </si>
  <si>
    <t>Козлов Максим Евгеньевич</t>
  </si>
  <si>
    <t>Менжера Екатерина Дмитриевна</t>
  </si>
  <si>
    <t>Радченко Никита Евгеньевич</t>
  </si>
  <si>
    <t>Скрипник Дмитрий Константинович</t>
  </si>
  <si>
    <t>Тусиков Дмитрий Романович</t>
  </si>
  <si>
    <t>Уманец Мария Сергеевна</t>
  </si>
  <si>
    <t>Юров Владислав Алексеевич</t>
  </si>
  <si>
    <t>Яловенко Артем Евгеньевич</t>
  </si>
  <si>
    <t>Бирюков Герман Вадимович</t>
  </si>
  <si>
    <t>Волков Иван Владимирович</t>
  </si>
  <si>
    <t>Вшивцев Антон Александрович</t>
  </si>
  <si>
    <t>Диденко Владислав Дмитриевич</t>
  </si>
  <si>
    <t>Калинич Дарья Васильевна</t>
  </si>
  <si>
    <t>Коновалов Глеб Владимирович</t>
  </si>
  <si>
    <t>Кривонос Кирилл Николаевич</t>
  </si>
  <si>
    <t>Лупач Семён Дмитриевич</t>
  </si>
  <si>
    <t>Насонов Вадим Витальевич</t>
  </si>
  <si>
    <t>Овакимян Мери Вардановна</t>
  </si>
  <si>
    <t>Палагенко Виктория Витальевна</t>
  </si>
  <si>
    <t>Плохой Валентин Игоревич</t>
  </si>
  <si>
    <t>Сыров Кирилл Сергеевич</t>
  </si>
  <si>
    <t>Чаленко Ксения Александровна</t>
  </si>
  <si>
    <t>Яралян Валя Аркадиевна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</si>
</sst>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/>
    <xf numFmtId="0" fontId="2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/>
    <xf numFmtId="0" fontId="1" fillId="0" borderId="20" xfId="0" applyFont="1" applyBorder="1"/>
    <xf numFmtId="0" fontId="1" fillId="0" borderId="13" xfId="0" applyFont="1" applyBorder="1"/>
    <xf numFmtId="0" fontId="1" fillId="0" borderId="17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2217-44AB-4848-85B0-2F7CA5BC4FA4}">
  <dimension ref="A1:DA19"/>
  <sheetViews>
    <sheetView tabSelected="1" workbookViewId="0">
      <selection activeCell="B1" sqref="B1:B3"/>
    </sheetView>
  </sheetViews>
  <sheetFormatPr defaultRowHeight="14.4" x14ac:dyDescent="0.3"/>
  <cols>
    <col min="1" max="1" width="3" style="4" bestFit="1" customWidth="1"/>
    <col min="2" max="2" width="33.6640625" style="5" customWidth="1"/>
    <col min="3" max="3" width="3.5546875" style="6" customWidth="1"/>
    <col min="4" max="28" width="3" style="6" customWidth="1"/>
    <col min="29" max="75" width="3" style="4" customWidth="1"/>
    <col min="76" max="98" width="3" style="6" customWidth="1"/>
    <col min="99" max="105" width="7.44140625" style="4" customWidth="1"/>
  </cols>
  <sheetData>
    <row r="1" spans="1:105" s="2" customFormat="1" x14ac:dyDescent="0.3">
      <c r="A1" s="23" t="s">
        <v>0</v>
      </c>
      <c r="B1" s="24" t="s">
        <v>1</v>
      </c>
      <c r="C1" s="30" t="s">
        <v>2</v>
      </c>
      <c r="D1" s="11" t="s">
        <v>41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3"/>
      <c r="AC1" s="11" t="s">
        <v>40</v>
      </c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3"/>
      <c r="BK1" s="23" t="s">
        <v>35</v>
      </c>
      <c r="BL1" s="24"/>
      <c r="BM1" s="24"/>
      <c r="BN1" s="24"/>
      <c r="BO1" s="30"/>
      <c r="BP1" s="23" t="s">
        <v>37</v>
      </c>
      <c r="BQ1" s="24"/>
      <c r="BR1" s="24"/>
      <c r="BS1" s="24"/>
      <c r="BT1" s="24"/>
      <c r="BU1" s="24"/>
      <c r="BV1" s="24"/>
      <c r="BW1" s="30"/>
      <c r="BX1" s="23" t="s">
        <v>36</v>
      </c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30"/>
      <c r="CO1" s="23" t="s">
        <v>38</v>
      </c>
      <c r="CP1" s="24"/>
      <c r="CQ1" s="30"/>
      <c r="CR1" s="23" t="s">
        <v>39</v>
      </c>
      <c r="CS1" s="24"/>
      <c r="CT1" s="30"/>
      <c r="CU1" s="7" t="s">
        <v>42</v>
      </c>
      <c r="CV1" s="7" t="s">
        <v>35</v>
      </c>
      <c r="CW1" s="7" t="s">
        <v>37</v>
      </c>
      <c r="CX1" s="7" t="s">
        <v>36</v>
      </c>
      <c r="CY1" s="7" t="s">
        <v>38</v>
      </c>
      <c r="CZ1" s="7" t="s">
        <v>39</v>
      </c>
      <c r="DA1" s="7" t="s">
        <v>43</v>
      </c>
    </row>
    <row r="2" spans="1:105" s="1" customFormat="1" x14ac:dyDescent="0.3">
      <c r="A2" s="25"/>
      <c r="B2" s="14"/>
      <c r="C2" s="31"/>
      <c r="D2" s="47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6"/>
      <c r="AC2" s="47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6"/>
      <c r="BK2" s="25"/>
      <c r="BL2" s="14"/>
      <c r="BM2" s="14"/>
      <c r="BN2" s="14"/>
      <c r="BO2" s="31"/>
      <c r="BP2" s="25"/>
      <c r="BQ2" s="14"/>
      <c r="BR2" s="14"/>
      <c r="BS2" s="14"/>
      <c r="BT2" s="14"/>
      <c r="BU2" s="14"/>
      <c r="BV2" s="14"/>
      <c r="BW2" s="31"/>
      <c r="BX2" s="25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31"/>
      <c r="CO2" s="25"/>
      <c r="CP2" s="14"/>
      <c r="CQ2" s="31"/>
      <c r="CR2" s="25"/>
      <c r="CS2" s="14"/>
      <c r="CT2" s="31"/>
      <c r="CU2" s="8"/>
      <c r="CV2" s="8"/>
      <c r="CW2" s="8"/>
      <c r="CX2" s="8"/>
      <c r="CY2" s="8"/>
      <c r="CZ2" s="8"/>
      <c r="DA2" s="8"/>
    </row>
    <row r="3" spans="1:105" s="1" customFormat="1" ht="15" thickBot="1" x14ac:dyDescent="0.35">
      <c r="A3" s="26"/>
      <c r="B3" s="27"/>
      <c r="C3" s="48"/>
      <c r="D3" s="32">
        <v>1</v>
      </c>
      <c r="E3" s="28">
        <v>2</v>
      </c>
      <c r="F3" s="28">
        <v>3</v>
      </c>
      <c r="G3" s="28">
        <v>4</v>
      </c>
      <c r="H3" s="28">
        <v>5</v>
      </c>
      <c r="I3" s="28">
        <v>6</v>
      </c>
      <c r="J3" s="28">
        <v>7</v>
      </c>
      <c r="K3" s="28">
        <v>8</v>
      </c>
      <c r="L3" s="28">
        <v>9</v>
      </c>
      <c r="M3" s="28">
        <v>10</v>
      </c>
      <c r="N3" s="28">
        <v>11</v>
      </c>
      <c r="O3" s="28">
        <v>12</v>
      </c>
      <c r="P3" s="28">
        <v>13</v>
      </c>
      <c r="Q3" s="28">
        <v>14</v>
      </c>
      <c r="R3" s="28">
        <v>15</v>
      </c>
      <c r="S3" s="28">
        <v>16</v>
      </c>
      <c r="T3" s="28">
        <v>17</v>
      </c>
      <c r="U3" s="28">
        <v>18</v>
      </c>
      <c r="V3" s="28">
        <v>19</v>
      </c>
      <c r="W3" s="28">
        <v>20</v>
      </c>
      <c r="X3" s="28">
        <v>21</v>
      </c>
      <c r="Y3" s="28">
        <v>22</v>
      </c>
      <c r="Z3" s="28">
        <v>23</v>
      </c>
      <c r="AA3" s="28">
        <v>24</v>
      </c>
      <c r="AB3" s="33">
        <v>25</v>
      </c>
      <c r="AC3" s="32">
        <v>1</v>
      </c>
      <c r="AD3" s="28">
        <v>2</v>
      </c>
      <c r="AE3" s="28">
        <v>3</v>
      </c>
      <c r="AF3" s="28">
        <v>4</v>
      </c>
      <c r="AG3" s="28">
        <v>5</v>
      </c>
      <c r="AH3" s="28">
        <v>6</v>
      </c>
      <c r="AI3" s="28">
        <v>7</v>
      </c>
      <c r="AJ3" s="28">
        <v>8</v>
      </c>
      <c r="AK3" s="28">
        <v>9</v>
      </c>
      <c r="AL3" s="28">
        <v>10</v>
      </c>
      <c r="AM3" s="28">
        <v>11</v>
      </c>
      <c r="AN3" s="28">
        <v>12</v>
      </c>
      <c r="AO3" s="28">
        <v>13</v>
      </c>
      <c r="AP3" s="28">
        <v>14</v>
      </c>
      <c r="AQ3" s="28">
        <v>15</v>
      </c>
      <c r="AR3" s="28">
        <v>16</v>
      </c>
      <c r="AS3" s="28">
        <v>17</v>
      </c>
      <c r="AT3" s="28">
        <v>18</v>
      </c>
      <c r="AU3" s="28">
        <v>19</v>
      </c>
      <c r="AV3" s="28">
        <v>20</v>
      </c>
      <c r="AW3" s="28">
        <v>21</v>
      </c>
      <c r="AX3" s="28">
        <v>22</v>
      </c>
      <c r="AY3" s="28">
        <v>23</v>
      </c>
      <c r="AZ3" s="28">
        <v>24</v>
      </c>
      <c r="BA3" s="28">
        <v>25</v>
      </c>
      <c r="BB3" s="28">
        <v>26</v>
      </c>
      <c r="BC3" s="28">
        <v>27</v>
      </c>
      <c r="BD3" s="28">
        <v>28</v>
      </c>
      <c r="BE3" s="28">
        <v>29</v>
      </c>
      <c r="BF3" s="28">
        <v>30</v>
      </c>
      <c r="BG3" s="28">
        <v>31</v>
      </c>
      <c r="BH3" s="28">
        <v>32</v>
      </c>
      <c r="BI3" s="28">
        <v>33</v>
      </c>
      <c r="BJ3" s="33">
        <v>34</v>
      </c>
      <c r="BK3" s="32">
        <v>1</v>
      </c>
      <c r="BL3" s="28">
        <v>2</v>
      </c>
      <c r="BM3" s="28">
        <v>3</v>
      </c>
      <c r="BN3" s="28">
        <v>4</v>
      </c>
      <c r="BO3" s="33">
        <v>5</v>
      </c>
      <c r="BP3" s="32">
        <v>1</v>
      </c>
      <c r="BQ3" s="28">
        <v>2</v>
      </c>
      <c r="BR3" s="28">
        <v>3</v>
      </c>
      <c r="BS3" s="28">
        <v>4</v>
      </c>
      <c r="BT3" s="28">
        <v>5</v>
      </c>
      <c r="BU3" s="28">
        <v>6</v>
      </c>
      <c r="BV3" s="28">
        <v>7</v>
      </c>
      <c r="BW3" s="33">
        <v>8</v>
      </c>
      <c r="BX3" s="32">
        <v>1</v>
      </c>
      <c r="BY3" s="28">
        <v>2</v>
      </c>
      <c r="BZ3" s="28">
        <v>3</v>
      </c>
      <c r="CA3" s="28">
        <v>4</v>
      </c>
      <c r="CB3" s="28">
        <v>5</v>
      </c>
      <c r="CC3" s="28">
        <v>6</v>
      </c>
      <c r="CD3" s="28">
        <v>7</v>
      </c>
      <c r="CE3" s="28">
        <v>8</v>
      </c>
      <c r="CF3" s="28">
        <v>9</v>
      </c>
      <c r="CG3" s="28">
        <v>10</v>
      </c>
      <c r="CH3" s="28">
        <v>11</v>
      </c>
      <c r="CI3" s="28">
        <v>12</v>
      </c>
      <c r="CJ3" s="28">
        <v>13</v>
      </c>
      <c r="CK3" s="28">
        <v>14</v>
      </c>
      <c r="CL3" s="28">
        <v>15</v>
      </c>
      <c r="CM3" s="28">
        <v>16</v>
      </c>
      <c r="CN3" s="33">
        <v>17</v>
      </c>
      <c r="CO3" s="32">
        <v>1</v>
      </c>
      <c r="CP3" s="28">
        <v>2</v>
      </c>
      <c r="CQ3" s="33">
        <v>3</v>
      </c>
      <c r="CR3" s="32">
        <v>1</v>
      </c>
      <c r="CS3" s="28">
        <v>2</v>
      </c>
      <c r="CT3" s="33">
        <v>3</v>
      </c>
      <c r="CU3" s="29"/>
      <c r="CV3" s="29"/>
      <c r="CW3" s="29"/>
      <c r="CX3" s="29"/>
      <c r="CY3" s="29"/>
      <c r="CZ3" s="29"/>
      <c r="DA3" s="29"/>
    </row>
    <row r="4" spans="1:105" x14ac:dyDescent="0.3">
      <c r="A4" s="41">
        <v>1</v>
      </c>
      <c r="B4" s="20" t="s">
        <v>3</v>
      </c>
      <c r="C4" s="35"/>
      <c r="D4" s="34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35"/>
      <c r="AC4" s="41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42"/>
      <c r="BK4" s="41"/>
      <c r="BL4" s="19"/>
      <c r="BM4" s="19"/>
      <c r="BN4" s="19"/>
      <c r="BO4" s="42"/>
      <c r="BP4" s="41"/>
      <c r="BQ4" s="19"/>
      <c r="BR4" s="19"/>
      <c r="BS4" s="19"/>
      <c r="BT4" s="19"/>
      <c r="BU4" s="19"/>
      <c r="BV4" s="19"/>
      <c r="BW4" s="42"/>
      <c r="BX4" s="34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35"/>
      <c r="CO4" s="34"/>
      <c r="CP4" s="21"/>
      <c r="CQ4" s="35"/>
      <c r="CR4" s="34"/>
      <c r="CS4" s="21"/>
      <c r="CT4" s="35"/>
      <c r="CU4" s="22">
        <f>COUNTIF(D4:BJ4,"н")</f>
        <v>0</v>
      </c>
      <c r="CV4" s="22">
        <f>IF(COUNT($BK4:$BO4)=0,0,AVERAGE($BK4:$BO4))</f>
        <v>0</v>
      </c>
      <c r="CW4" s="22">
        <f>IF(COUNT($BP4:$BW4)=0,0,AVERAGE($BP4:$BW4))</f>
        <v>0</v>
      </c>
      <c r="CX4" s="22">
        <f>IF(COUNT($BX4:$CN4)=0,0,AVERAGE($BX4:$CN4))</f>
        <v>0</v>
      </c>
      <c r="CY4" s="22">
        <f>IF(COUNT($CO4:$CQ4)=0,0,AVERAGE($CO4:$CQ4))</f>
        <v>0</v>
      </c>
      <c r="CZ4" s="22">
        <f>IF(COUNT($CR4:$CT4)=0,0,AVERAGE(($CR4:$CT4)))</f>
        <v>0</v>
      </c>
      <c r="DA4" s="22">
        <f>ROUND(IF(COUNTIF($CV4:$CZ4,"&gt;0")=5,AVERAGE($CV4:$CZ4),SUM($CV4:$CZ4)/6)-MIN(1,$CU4*0.05),2)</f>
        <v>0</v>
      </c>
    </row>
    <row r="5" spans="1:105" x14ac:dyDescent="0.3">
      <c r="A5" s="43">
        <v>2</v>
      </c>
      <c r="B5" s="16" t="s">
        <v>4</v>
      </c>
      <c r="C5" s="37"/>
      <c r="D5" s="3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37"/>
      <c r="AC5" s="43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44"/>
      <c r="BK5" s="43"/>
      <c r="BL5" s="15"/>
      <c r="BM5" s="15"/>
      <c r="BN5" s="15"/>
      <c r="BO5" s="44"/>
      <c r="BP5" s="43"/>
      <c r="BQ5" s="15"/>
      <c r="BR5" s="15"/>
      <c r="BS5" s="15"/>
      <c r="BT5" s="15"/>
      <c r="BU5" s="15"/>
      <c r="BV5" s="15"/>
      <c r="BW5" s="44"/>
      <c r="BX5" s="36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37"/>
      <c r="CO5" s="36"/>
      <c r="CP5" s="17"/>
      <c r="CQ5" s="37"/>
      <c r="CR5" s="36"/>
      <c r="CS5" s="17"/>
      <c r="CT5" s="37"/>
      <c r="CU5" s="9">
        <f t="shared" ref="CU5:CU19" si="0">COUNTIF(D5:BJ5,"н")</f>
        <v>0</v>
      </c>
      <c r="CV5" s="9">
        <f>IF(COUNT($BK5:$BO5)=0,0,AVERAGE($BK5:$BO5))</f>
        <v>0</v>
      </c>
      <c r="CW5" s="9">
        <f>IF(COUNT($BP5:$BW5)=0,0,AVERAGE($BP5:$BW5))</f>
        <v>0</v>
      </c>
      <c r="CX5" s="9">
        <f>IF(COUNT($BX5:$CN5)=0,0,AVERAGE($BX5:$CN5))</f>
        <v>0</v>
      </c>
      <c r="CY5" s="9">
        <f t="shared" ref="CY5:CY19" si="1">IF(COUNT($CO5:$CQ5)=0,0,AVERAGE($CO5:$CQ5))</f>
        <v>0</v>
      </c>
      <c r="CZ5" s="9">
        <f t="shared" ref="CZ5:CZ19" si="2">IF(COUNT($CR5:$CT5)=0,0,AVERAGE(($CR5:$CT5)))</f>
        <v>0</v>
      </c>
      <c r="DA5" s="9">
        <f t="shared" ref="DA5:DA19" si="3">ROUND(IF(COUNTIF($CV5:$CZ5,"&gt;0")=5,AVERAGE($CV5:$CZ5),SUM($CV5:$CZ5)/6)-MIN(1,$CU5*0.05),2)</f>
        <v>0</v>
      </c>
    </row>
    <row r="6" spans="1:105" x14ac:dyDescent="0.3">
      <c r="A6" s="43">
        <v>3</v>
      </c>
      <c r="B6" s="16" t="s">
        <v>5</v>
      </c>
      <c r="C6" s="37"/>
      <c r="D6" s="36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37"/>
      <c r="AC6" s="43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44"/>
      <c r="BK6" s="43"/>
      <c r="BL6" s="15"/>
      <c r="BM6" s="15"/>
      <c r="BN6" s="15"/>
      <c r="BO6" s="44"/>
      <c r="BP6" s="43"/>
      <c r="BQ6" s="15"/>
      <c r="BR6" s="15"/>
      <c r="BS6" s="15"/>
      <c r="BT6" s="15"/>
      <c r="BU6" s="15"/>
      <c r="BV6" s="15"/>
      <c r="BW6" s="44"/>
      <c r="BX6" s="36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37"/>
      <c r="CO6" s="36"/>
      <c r="CP6" s="17"/>
      <c r="CQ6" s="37"/>
      <c r="CR6" s="36"/>
      <c r="CS6" s="17"/>
      <c r="CT6" s="37"/>
      <c r="CU6" s="9">
        <f t="shared" si="0"/>
        <v>0</v>
      </c>
      <c r="CV6" s="9">
        <f>IF(COUNT($BK6:$BO6)=0,0,AVERAGE($BK6:$BO6))</f>
        <v>0</v>
      </c>
      <c r="CW6" s="9">
        <f>IF(COUNT($BP6:$BW6)=0,0,AVERAGE($BP6:$BW6))</f>
        <v>0</v>
      </c>
      <c r="CX6" s="9">
        <f>IF(COUNT($BX6:$CN6)=0,0,AVERAGE($BX6:$CN6))</f>
        <v>0</v>
      </c>
      <c r="CY6" s="9">
        <f t="shared" si="1"/>
        <v>0</v>
      </c>
      <c r="CZ6" s="9">
        <f t="shared" si="2"/>
        <v>0</v>
      </c>
      <c r="DA6" s="9">
        <f t="shared" si="3"/>
        <v>0</v>
      </c>
    </row>
    <row r="7" spans="1:105" x14ac:dyDescent="0.3">
      <c r="A7" s="43">
        <v>4</v>
      </c>
      <c r="B7" s="16" t="s">
        <v>6</v>
      </c>
      <c r="C7" s="37"/>
      <c r="D7" s="36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37"/>
      <c r="AC7" s="43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44"/>
      <c r="BK7" s="43"/>
      <c r="BL7" s="15"/>
      <c r="BM7" s="15"/>
      <c r="BN7" s="15"/>
      <c r="BO7" s="44"/>
      <c r="BP7" s="43"/>
      <c r="BQ7" s="15"/>
      <c r="BR7" s="15"/>
      <c r="BS7" s="15"/>
      <c r="BT7" s="15"/>
      <c r="BU7" s="15"/>
      <c r="BV7" s="15"/>
      <c r="BW7" s="44"/>
      <c r="BX7" s="36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37"/>
      <c r="CO7" s="36"/>
      <c r="CP7" s="17"/>
      <c r="CQ7" s="37"/>
      <c r="CR7" s="36"/>
      <c r="CS7" s="17"/>
      <c r="CT7" s="37"/>
      <c r="CU7" s="9">
        <f t="shared" si="0"/>
        <v>0</v>
      </c>
      <c r="CV7" s="9">
        <f>IF(COUNT($BK7:$BO7)=0,0,AVERAGE($BK7:$BO7))</f>
        <v>0</v>
      </c>
      <c r="CW7" s="9">
        <f>IF(COUNT($BP7:$BW7)=0,0,AVERAGE($BP7:$BW7))</f>
        <v>0</v>
      </c>
      <c r="CX7" s="9">
        <f>IF(COUNT($BX7:$CN7)=0,0,AVERAGE($BX7:$CN7))</f>
        <v>0</v>
      </c>
      <c r="CY7" s="9">
        <f t="shared" si="1"/>
        <v>0</v>
      </c>
      <c r="CZ7" s="9">
        <f t="shared" si="2"/>
        <v>0</v>
      </c>
      <c r="DA7" s="9">
        <f t="shared" si="3"/>
        <v>0</v>
      </c>
    </row>
    <row r="8" spans="1:105" x14ac:dyDescent="0.3">
      <c r="A8" s="43">
        <v>5</v>
      </c>
      <c r="B8" s="16" t="s">
        <v>7</v>
      </c>
      <c r="C8" s="37"/>
      <c r="D8" s="3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37"/>
      <c r="AC8" s="43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44"/>
      <c r="BK8" s="43"/>
      <c r="BL8" s="15"/>
      <c r="BM8" s="15"/>
      <c r="BN8" s="15"/>
      <c r="BO8" s="44"/>
      <c r="BP8" s="43"/>
      <c r="BQ8" s="15"/>
      <c r="BR8" s="15"/>
      <c r="BS8" s="15"/>
      <c r="BT8" s="15"/>
      <c r="BU8" s="15"/>
      <c r="BV8" s="15"/>
      <c r="BW8" s="44"/>
      <c r="BX8" s="36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37"/>
      <c r="CO8" s="36"/>
      <c r="CP8" s="17"/>
      <c r="CQ8" s="37"/>
      <c r="CR8" s="36"/>
      <c r="CS8" s="17"/>
      <c r="CT8" s="37"/>
      <c r="CU8" s="9">
        <f t="shared" si="0"/>
        <v>0</v>
      </c>
      <c r="CV8" s="9">
        <f>IF(COUNT($BK8:$BO8)=0,0,AVERAGE($BK8:$BO8))</f>
        <v>0</v>
      </c>
      <c r="CW8" s="9">
        <f>IF(COUNT($BP8:$BW8)=0,0,AVERAGE($BP8:$BW8))</f>
        <v>0</v>
      </c>
      <c r="CX8" s="9">
        <f>IF(COUNT($BX8:$CN8)=0,0,AVERAGE($BX8:$CN8))</f>
        <v>0</v>
      </c>
      <c r="CY8" s="9">
        <f t="shared" si="1"/>
        <v>0</v>
      </c>
      <c r="CZ8" s="9">
        <f t="shared" si="2"/>
        <v>0</v>
      </c>
      <c r="DA8" s="9">
        <f t="shared" si="3"/>
        <v>0</v>
      </c>
    </row>
    <row r="9" spans="1:105" x14ac:dyDescent="0.3">
      <c r="A9" s="43">
        <v>6</v>
      </c>
      <c r="B9" s="16" t="s">
        <v>8</v>
      </c>
      <c r="C9" s="37"/>
      <c r="D9" s="3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37"/>
      <c r="AC9" s="43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44"/>
      <c r="BK9" s="43"/>
      <c r="BL9" s="15"/>
      <c r="BM9" s="15"/>
      <c r="BN9" s="15"/>
      <c r="BO9" s="44"/>
      <c r="BP9" s="43"/>
      <c r="BQ9" s="15"/>
      <c r="BR9" s="15"/>
      <c r="BS9" s="15"/>
      <c r="BT9" s="15"/>
      <c r="BU9" s="15"/>
      <c r="BV9" s="15"/>
      <c r="BW9" s="44"/>
      <c r="BX9" s="36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37"/>
      <c r="CO9" s="36"/>
      <c r="CP9" s="17"/>
      <c r="CQ9" s="37"/>
      <c r="CR9" s="36"/>
      <c r="CS9" s="17"/>
      <c r="CT9" s="37"/>
      <c r="CU9" s="9">
        <f t="shared" si="0"/>
        <v>0</v>
      </c>
      <c r="CV9" s="9">
        <f>IF(COUNT($BK9:$BO9)=0,0,AVERAGE($BK9:$BO9))</f>
        <v>0</v>
      </c>
      <c r="CW9" s="9">
        <f>IF(COUNT($BP9:$BW9)=0,0,AVERAGE($BP9:$BW9))</f>
        <v>0</v>
      </c>
      <c r="CX9" s="9">
        <f>IF(COUNT($BX9:$CN9)=0,0,AVERAGE($BX9:$CN9))</f>
        <v>0</v>
      </c>
      <c r="CY9" s="9">
        <f t="shared" si="1"/>
        <v>0</v>
      </c>
      <c r="CZ9" s="9">
        <f t="shared" si="2"/>
        <v>0</v>
      </c>
      <c r="DA9" s="9">
        <f t="shared" si="3"/>
        <v>0</v>
      </c>
    </row>
    <row r="10" spans="1:105" x14ac:dyDescent="0.3">
      <c r="A10" s="43">
        <v>7</v>
      </c>
      <c r="B10" s="16" t="s">
        <v>9</v>
      </c>
      <c r="C10" s="37"/>
      <c r="D10" s="36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37"/>
      <c r="AC10" s="43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44"/>
      <c r="BK10" s="43"/>
      <c r="BL10" s="15"/>
      <c r="BM10" s="15"/>
      <c r="BN10" s="15"/>
      <c r="BO10" s="44"/>
      <c r="BP10" s="43"/>
      <c r="BQ10" s="15"/>
      <c r="BR10" s="15"/>
      <c r="BS10" s="15"/>
      <c r="BT10" s="15"/>
      <c r="BU10" s="15"/>
      <c r="BV10" s="15"/>
      <c r="BW10" s="44"/>
      <c r="BX10" s="36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37"/>
      <c r="CO10" s="36"/>
      <c r="CP10" s="17"/>
      <c r="CQ10" s="37"/>
      <c r="CR10" s="36"/>
      <c r="CS10" s="17"/>
      <c r="CT10" s="37"/>
      <c r="CU10" s="9">
        <f t="shared" si="0"/>
        <v>0</v>
      </c>
      <c r="CV10" s="9">
        <f>IF(COUNT($BK10:$BO10)=0,0,AVERAGE($BK10:$BO10))</f>
        <v>0</v>
      </c>
      <c r="CW10" s="9">
        <f>IF(COUNT($BP10:$BW10)=0,0,AVERAGE($BP10:$BW10))</f>
        <v>0</v>
      </c>
      <c r="CX10" s="9">
        <f>IF(COUNT($BX10:$CN10)=0,0,AVERAGE($BX10:$CN10))</f>
        <v>0</v>
      </c>
      <c r="CY10" s="9">
        <f t="shared" si="1"/>
        <v>0</v>
      </c>
      <c r="CZ10" s="9">
        <f t="shared" si="2"/>
        <v>0</v>
      </c>
      <c r="DA10" s="9">
        <f t="shared" si="3"/>
        <v>0</v>
      </c>
    </row>
    <row r="11" spans="1:105" x14ac:dyDescent="0.3">
      <c r="A11" s="43">
        <v>8</v>
      </c>
      <c r="B11" s="16" t="s">
        <v>10</v>
      </c>
      <c r="C11" s="37"/>
      <c r="D11" s="3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37"/>
      <c r="AC11" s="43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44"/>
      <c r="BK11" s="43"/>
      <c r="BL11" s="15"/>
      <c r="BM11" s="15"/>
      <c r="BN11" s="15"/>
      <c r="BO11" s="44"/>
      <c r="BP11" s="43"/>
      <c r="BQ11" s="15"/>
      <c r="BR11" s="15"/>
      <c r="BS11" s="15"/>
      <c r="BT11" s="15"/>
      <c r="BU11" s="15"/>
      <c r="BV11" s="15"/>
      <c r="BW11" s="44"/>
      <c r="BX11" s="36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37"/>
      <c r="CO11" s="36"/>
      <c r="CP11" s="17"/>
      <c r="CQ11" s="37"/>
      <c r="CR11" s="36"/>
      <c r="CS11" s="17"/>
      <c r="CT11" s="37"/>
      <c r="CU11" s="9">
        <f t="shared" si="0"/>
        <v>0</v>
      </c>
      <c r="CV11" s="9">
        <f>IF(COUNT($BK11:$BO11)=0,0,AVERAGE($BK11:$BO11))</f>
        <v>0</v>
      </c>
      <c r="CW11" s="9">
        <f>IF(COUNT($BP11:$BW11)=0,0,AVERAGE($BP11:$BW11))</f>
        <v>0</v>
      </c>
      <c r="CX11" s="9">
        <f>IF(COUNT($BX11:$CN11)=0,0,AVERAGE($BX11:$CN11))</f>
        <v>0</v>
      </c>
      <c r="CY11" s="9">
        <f t="shared" si="1"/>
        <v>0</v>
      </c>
      <c r="CZ11" s="9">
        <f t="shared" si="2"/>
        <v>0</v>
      </c>
      <c r="DA11" s="9">
        <f t="shared" si="3"/>
        <v>0</v>
      </c>
    </row>
    <row r="12" spans="1:105" x14ac:dyDescent="0.3">
      <c r="A12" s="43">
        <v>9</v>
      </c>
      <c r="B12" s="16" t="s">
        <v>11</v>
      </c>
      <c r="C12" s="37"/>
      <c r="D12" s="3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37"/>
      <c r="AC12" s="43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44"/>
      <c r="BK12" s="43"/>
      <c r="BL12" s="15"/>
      <c r="BM12" s="15"/>
      <c r="BN12" s="15"/>
      <c r="BO12" s="44"/>
      <c r="BP12" s="43"/>
      <c r="BQ12" s="15"/>
      <c r="BR12" s="15"/>
      <c r="BS12" s="15"/>
      <c r="BT12" s="15"/>
      <c r="BU12" s="15"/>
      <c r="BV12" s="15"/>
      <c r="BW12" s="44"/>
      <c r="BX12" s="36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37"/>
      <c r="CO12" s="36"/>
      <c r="CP12" s="17"/>
      <c r="CQ12" s="37"/>
      <c r="CR12" s="36"/>
      <c r="CS12" s="17"/>
      <c r="CT12" s="37"/>
      <c r="CU12" s="9">
        <f t="shared" si="0"/>
        <v>0</v>
      </c>
      <c r="CV12" s="9">
        <f>IF(COUNT($BK12:$BO12)=0,0,AVERAGE($BK12:$BO12))</f>
        <v>0</v>
      </c>
      <c r="CW12" s="9">
        <f>IF(COUNT($BP12:$BW12)=0,0,AVERAGE($BP12:$BW12))</f>
        <v>0</v>
      </c>
      <c r="CX12" s="9">
        <f>IF(COUNT($BX12:$CN12)=0,0,AVERAGE($BX12:$CN12))</f>
        <v>0</v>
      </c>
      <c r="CY12" s="9">
        <f t="shared" si="1"/>
        <v>0</v>
      </c>
      <c r="CZ12" s="9">
        <f t="shared" si="2"/>
        <v>0</v>
      </c>
      <c r="DA12" s="9">
        <f t="shared" si="3"/>
        <v>0</v>
      </c>
    </row>
    <row r="13" spans="1:105" x14ac:dyDescent="0.3">
      <c r="A13" s="43">
        <v>10</v>
      </c>
      <c r="B13" s="16" t="s">
        <v>12</v>
      </c>
      <c r="C13" s="37"/>
      <c r="D13" s="3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37"/>
      <c r="AC13" s="43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44"/>
      <c r="BK13" s="43"/>
      <c r="BL13" s="15"/>
      <c r="BM13" s="15"/>
      <c r="BN13" s="15"/>
      <c r="BO13" s="44"/>
      <c r="BP13" s="43"/>
      <c r="BQ13" s="15"/>
      <c r="BR13" s="15"/>
      <c r="BS13" s="15"/>
      <c r="BT13" s="15"/>
      <c r="BU13" s="15"/>
      <c r="BV13" s="15"/>
      <c r="BW13" s="44"/>
      <c r="BX13" s="36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37"/>
      <c r="CO13" s="36"/>
      <c r="CP13" s="17"/>
      <c r="CQ13" s="37"/>
      <c r="CR13" s="36"/>
      <c r="CS13" s="17"/>
      <c r="CT13" s="37"/>
      <c r="CU13" s="9">
        <f t="shared" si="0"/>
        <v>0</v>
      </c>
      <c r="CV13" s="9">
        <f>IF(COUNT($BK13:$BO13)=0,0,AVERAGE($BK13:$BO13))</f>
        <v>0</v>
      </c>
      <c r="CW13" s="9">
        <f>IF(COUNT($BP13:$BW13)=0,0,AVERAGE($BP13:$BW13))</f>
        <v>0</v>
      </c>
      <c r="CX13" s="9">
        <f>IF(COUNT($BX13:$CN13)=0,0,AVERAGE($BX13:$CN13))</f>
        <v>0</v>
      </c>
      <c r="CY13" s="9">
        <f t="shared" si="1"/>
        <v>0</v>
      </c>
      <c r="CZ13" s="9">
        <f t="shared" si="2"/>
        <v>0</v>
      </c>
      <c r="DA13" s="9">
        <f t="shared" si="3"/>
        <v>0</v>
      </c>
    </row>
    <row r="14" spans="1:105" x14ac:dyDescent="0.3">
      <c r="A14" s="43">
        <v>11</v>
      </c>
      <c r="B14" s="16" t="s">
        <v>13</v>
      </c>
      <c r="C14" s="37"/>
      <c r="D14" s="3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37"/>
      <c r="AC14" s="43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44"/>
      <c r="BK14" s="43"/>
      <c r="BL14" s="15"/>
      <c r="BM14" s="15"/>
      <c r="BN14" s="15"/>
      <c r="BO14" s="44"/>
      <c r="BP14" s="43"/>
      <c r="BQ14" s="15"/>
      <c r="BR14" s="15"/>
      <c r="BS14" s="15"/>
      <c r="BT14" s="15"/>
      <c r="BU14" s="15"/>
      <c r="BV14" s="15"/>
      <c r="BW14" s="44"/>
      <c r="BX14" s="36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37"/>
      <c r="CO14" s="36"/>
      <c r="CP14" s="17"/>
      <c r="CQ14" s="37"/>
      <c r="CR14" s="36"/>
      <c r="CS14" s="17"/>
      <c r="CT14" s="37"/>
      <c r="CU14" s="9">
        <f t="shared" si="0"/>
        <v>0</v>
      </c>
      <c r="CV14" s="9">
        <f>IF(COUNT($BK14:$BO14)=0,0,AVERAGE($BK14:$BO14))</f>
        <v>0</v>
      </c>
      <c r="CW14" s="9">
        <f>IF(COUNT($BP14:$BW14)=0,0,AVERAGE($BP14:$BW14))</f>
        <v>0</v>
      </c>
      <c r="CX14" s="9">
        <f>IF(COUNT($BX14:$CN14)=0,0,AVERAGE($BX14:$CN14))</f>
        <v>0</v>
      </c>
      <c r="CY14" s="9">
        <f t="shared" si="1"/>
        <v>0</v>
      </c>
      <c r="CZ14" s="9">
        <f t="shared" si="2"/>
        <v>0</v>
      </c>
      <c r="DA14" s="9">
        <f t="shared" si="3"/>
        <v>0</v>
      </c>
    </row>
    <row r="15" spans="1:105" x14ac:dyDescent="0.3">
      <c r="A15" s="43">
        <v>12</v>
      </c>
      <c r="B15" s="16" t="s">
        <v>14</v>
      </c>
      <c r="C15" s="37"/>
      <c r="D15" s="3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37"/>
      <c r="AC15" s="43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44"/>
      <c r="BK15" s="43"/>
      <c r="BL15" s="15"/>
      <c r="BM15" s="15"/>
      <c r="BN15" s="15"/>
      <c r="BO15" s="44"/>
      <c r="BP15" s="43"/>
      <c r="BQ15" s="15"/>
      <c r="BR15" s="15"/>
      <c r="BS15" s="15"/>
      <c r="BT15" s="15"/>
      <c r="BU15" s="15"/>
      <c r="BV15" s="15"/>
      <c r="BW15" s="44"/>
      <c r="BX15" s="36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37"/>
      <c r="CO15" s="36"/>
      <c r="CP15" s="17"/>
      <c r="CQ15" s="37"/>
      <c r="CR15" s="36"/>
      <c r="CS15" s="17"/>
      <c r="CT15" s="37"/>
      <c r="CU15" s="9">
        <f t="shared" si="0"/>
        <v>0</v>
      </c>
      <c r="CV15" s="9">
        <f>IF(COUNT($BK15:$BO15)=0,0,AVERAGE($BK15:$BO15))</f>
        <v>0</v>
      </c>
      <c r="CW15" s="9">
        <f>IF(COUNT($BP15:$BW15)=0,0,AVERAGE($BP15:$BW15))</f>
        <v>0</v>
      </c>
      <c r="CX15" s="9">
        <f>IF(COUNT($BX15:$CN15)=0,0,AVERAGE($BX15:$CN15))</f>
        <v>0</v>
      </c>
      <c r="CY15" s="9">
        <f t="shared" si="1"/>
        <v>0</v>
      </c>
      <c r="CZ15" s="9">
        <f t="shared" si="2"/>
        <v>0</v>
      </c>
      <c r="DA15" s="9">
        <f t="shared" si="3"/>
        <v>0</v>
      </c>
    </row>
    <row r="16" spans="1:105" x14ac:dyDescent="0.3">
      <c r="A16" s="43">
        <v>13</v>
      </c>
      <c r="B16" s="16" t="s">
        <v>15</v>
      </c>
      <c r="C16" s="37"/>
      <c r="D16" s="3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37"/>
      <c r="AC16" s="43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44"/>
      <c r="BK16" s="43"/>
      <c r="BL16" s="15"/>
      <c r="BM16" s="15"/>
      <c r="BN16" s="15"/>
      <c r="BO16" s="44"/>
      <c r="BP16" s="43"/>
      <c r="BQ16" s="15"/>
      <c r="BR16" s="15"/>
      <c r="BS16" s="15"/>
      <c r="BT16" s="15"/>
      <c r="BU16" s="15"/>
      <c r="BV16" s="15"/>
      <c r="BW16" s="44"/>
      <c r="BX16" s="36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37"/>
      <c r="CO16" s="36"/>
      <c r="CP16" s="17"/>
      <c r="CQ16" s="37"/>
      <c r="CR16" s="36"/>
      <c r="CS16" s="17"/>
      <c r="CT16" s="37"/>
      <c r="CU16" s="9">
        <f t="shared" si="0"/>
        <v>0</v>
      </c>
      <c r="CV16" s="9">
        <f>IF(COUNT($BK16:$BO16)=0,0,AVERAGE($BK16:$BO16))</f>
        <v>0</v>
      </c>
      <c r="CW16" s="9">
        <f>IF(COUNT($BP16:$BW16)=0,0,AVERAGE($BP16:$BW16))</f>
        <v>0</v>
      </c>
      <c r="CX16" s="9">
        <f>IF(COUNT($BX16:$CN16)=0,0,AVERAGE($BX16:$CN16))</f>
        <v>0</v>
      </c>
      <c r="CY16" s="9">
        <f t="shared" si="1"/>
        <v>0</v>
      </c>
      <c r="CZ16" s="9">
        <f t="shared" si="2"/>
        <v>0</v>
      </c>
      <c r="DA16" s="9">
        <f t="shared" si="3"/>
        <v>0</v>
      </c>
    </row>
    <row r="17" spans="1:105" x14ac:dyDescent="0.3">
      <c r="A17" s="43">
        <v>14</v>
      </c>
      <c r="B17" s="18" t="s">
        <v>16</v>
      </c>
      <c r="C17" s="37"/>
      <c r="D17" s="3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37"/>
      <c r="AC17" s="43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44"/>
      <c r="BK17" s="43"/>
      <c r="BL17" s="15"/>
      <c r="BM17" s="15"/>
      <c r="BN17" s="15"/>
      <c r="BO17" s="44"/>
      <c r="BP17" s="43"/>
      <c r="BQ17" s="15"/>
      <c r="BR17" s="15"/>
      <c r="BS17" s="15"/>
      <c r="BT17" s="15"/>
      <c r="BU17" s="15"/>
      <c r="BV17" s="15"/>
      <c r="BW17" s="44"/>
      <c r="BX17" s="36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37"/>
      <c r="CO17" s="36"/>
      <c r="CP17" s="17"/>
      <c r="CQ17" s="37"/>
      <c r="CR17" s="36"/>
      <c r="CS17" s="17"/>
      <c r="CT17" s="37"/>
      <c r="CU17" s="9">
        <f t="shared" si="0"/>
        <v>0</v>
      </c>
      <c r="CV17" s="9">
        <f>IF(COUNT($BK17:$BO17)=0,0,AVERAGE($BK17:$BO17))</f>
        <v>0</v>
      </c>
      <c r="CW17" s="9">
        <f>IF(COUNT($BP17:$BW17)=0,0,AVERAGE($BP17:$BW17))</f>
        <v>0</v>
      </c>
      <c r="CX17" s="9">
        <f>IF(COUNT($BX17:$CN17)=0,0,AVERAGE($BX17:$CN17))</f>
        <v>0</v>
      </c>
      <c r="CY17" s="9">
        <f t="shared" si="1"/>
        <v>0</v>
      </c>
      <c r="CZ17" s="9">
        <f t="shared" si="2"/>
        <v>0</v>
      </c>
      <c r="DA17" s="9">
        <f t="shared" si="3"/>
        <v>0</v>
      </c>
    </row>
    <row r="18" spans="1:105" x14ac:dyDescent="0.3">
      <c r="A18" s="43">
        <v>15</v>
      </c>
      <c r="B18" s="16" t="s">
        <v>17</v>
      </c>
      <c r="C18" s="37"/>
      <c r="D18" s="3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37"/>
      <c r="AC18" s="43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44"/>
      <c r="BK18" s="43"/>
      <c r="BL18" s="15"/>
      <c r="BM18" s="15"/>
      <c r="BN18" s="15"/>
      <c r="BO18" s="44"/>
      <c r="BP18" s="43"/>
      <c r="BQ18" s="15"/>
      <c r="BR18" s="15"/>
      <c r="BS18" s="15"/>
      <c r="BT18" s="15"/>
      <c r="BU18" s="15"/>
      <c r="BV18" s="15"/>
      <c r="BW18" s="44"/>
      <c r="BX18" s="36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37"/>
      <c r="CO18" s="36"/>
      <c r="CP18" s="17"/>
      <c r="CQ18" s="37"/>
      <c r="CR18" s="36"/>
      <c r="CS18" s="17"/>
      <c r="CT18" s="37"/>
      <c r="CU18" s="9">
        <f t="shared" si="0"/>
        <v>0</v>
      </c>
      <c r="CV18" s="9">
        <f>IF(COUNT($BK18:$BO18)=0,0,AVERAGE($BK18:$BO18))</f>
        <v>0</v>
      </c>
      <c r="CW18" s="9">
        <f>IF(COUNT($BP18:$BW18)=0,0,AVERAGE($BP18:$BW18))</f>
        <v>0</v>
      </c>
      <c r="CX18" s="9">
        <f>IF(COUNT($BX18:$CN18)=0,0,AVERAGE($BX18:$CN18))</f>
        <v>0</v>
      </c>
      <c r="CY18" s="9">
        <f t="shared" si="1"/>
        <v>0</v>
      </c>
      <c r="CZ18" s="9">
        <f t="shared" si="2"/>
        <v>0</v>
      </c>
      <c r="DA18" s="9">
        <f t="shared" si="3"/>
        <v>0</v>
      </c>
    </row>
    <row r="19" spans="1:105" ht="15" thickBot="1" x14ac:dyDescent="0.35">
      <c r="A19" s="32">
        <v>16</v>
      </c>
      <c r="B19" s="49" t="s">
        <v>18</v>
      </c>
      <c r="C19" s="40"/>
      <c r="D19" s="38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40"/>
      <c r="AC19" s="32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33"/>
      <c r="BK19" s="32"/>
      <c r="BL19" s="28"/>
      <c r="BM19" s="28"/>
      <c r="BN19" s="28"/>
      <c r="BO19" s="33"/>
      <c r="BP19" s="32"/>
      <c r="BQ19" s="28"/>
      <c r="BR19" s="28"/>
      <c r="BS19" s="28"/>
      <c r="BT19" s="28"/>
      <c r="BU19" s="28"/>
      <c r="BV19" s="28"/>
      <c r="BW19" s="33"/>
      <c r="BX19" s="38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40"/>
      <c r="CO19" s="38"/>
      <c r="CP19" s="39"/>
      <c r="CQ19" s="40"/>
      <c r="CR19" s="38"/>
      <c r="CS19" s="39"/>
      <c r="CT19" s="40"/>
      <c r="CU19" s="10">
        <f t="shared" si="0"/>
        <v>0</v>
      </c>
      <c r="CV19" s="10">
        <f>IF(COUNT($BK19:$BO19)=0,0,AVERAGE($BK19:$BO19))</f>
        <v>0</v>
      </c>
      <c r="CW19" s="10">
        <f>IF(COUNT($BP19:$BW19)=0,0,AVERAGE($BP19:$BW19))</f>
        <v>0</v>
      </c>
      <c r="CX19" s="10">
        <f>IF(COUNT($BX19:$CN19)=0,0,AVERAGE($BX19:$CN19))</f>
        <v>0</v>
      </c>
      <c r="CY19" s="10">
        <f t="shared" si="1"/>
        <v>0</v>
      </c>
      <c r="CZ19" s="10">
        <f t="shared" si="2"/>
        <v>0</v>
      </c>
      <c r="DA19" s="10">
        <f t="shared" si="3"/>
        <v>0</v>
      </c>
    </row>
  </sheetData>
  <mergeCells count="17">
    <mergeCell ref="CW1:CW3"/>
    <mergeCell ref="CX1:CX3"/>
    <mergeCell ref="CY1:CY3"/>
    <mergeCell ref="CZ1:CZ3"/>
    <mergeCell ref="DA1:DA3"/>
    <mergeCell ref="A1:A3"/>
    <mergeCell ref="BK1:BO2"/>
    <mergeCell ref="BP1:BW2"/>
    <mergeCell ref="BX1:CN2"/>
    <mergeCell ref="CV1:CV3"/>
    <mergeCell ref="CO1:CQ2"/>
    <mergeCell ref="CR1:CT2"/>
    <mergeCell ref="CU1:CU3"/>
    <mergeCell ref="D1:AB2"/>
    <mergeCell ref="C1:C3"/>
    <mergeCell ref="B1:B3"/>
    <mergeCell ref="AC1:B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AAAD-2D92-4A42-8EA6-8673F83756B6}">
  <dimension ref="A1:DA19"/>
  <sheetViews>
    <sheetView workbookViewId="0">
      <selection activeCell="DA19" sqref="A1:DA19"/>
    </sheetView>
  </sheetViews>
  <sheetFormatPr defaultRowHeight="14.4" x14ac:dyDescent="0.3"/>
  <cols>
    <col min="1" max="1" width="3" style="4" bestFit="1" customWidth="1"/>
    <col min="2" max="2" width="33.6640625" style="5" customWidth="1"/>
    <col min="3" max="3" width="3.5546875" style="4" bestFit="1" customWidth="1"/>
    <col min="4" max="98" width="3" style="6" customWidth="1"/>
    <col min="99" max="105" width="7.44140625" style="6" customWidth="1"/>
  </cols>
  <sheetData>
    <row r="1" spans="1:105" s="3" customFormat="1" x14ac:dyDescent="0.3">
      <c r="A1" s="23" t="s">
        <v>0</v>
      </c>
      <c r="B1" s="24" t="s">
        <v>1</v>
      </c>
      <c r="C1" s="30" t="s">
        <v>2</v>
      </c>
      <c r="D1" s="11" t="s">
        <v>41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3"/>
      <c r="AC1" s="11" t="s">
        <v>40</v>
      </c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3"/>
      <c r="BK1" s="23" t="s">
        <v>35</v>
      </c>
      <c r="BL1" s="24"/>
      <c r="BM1" s="24"/>
      <c r="BN1" s="24"/>
      <c r="BO1" s="30"/>
      <c r="BP1" s="23" t="s">
        <v>37</v>
      </c>
      <c r="BQ1" s="24"/>
      <c r="BR1" s="24"/>
      <c r="BS1" s="24"/>
      <c r="BT1" s="24"/>
      <c r="BU1" s="24"/>
      <c r="BV1" s="24"/>
      <c r="BW1" s="30"/>
      <c r="BX1" s="23" t="s">
        <v>36</v>
      </c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30"/>
      <c r="CO1" s="23" t="s">
        <v>38</v>
      </c>
      <c r="CP1" s="24"/>
      <c r="CQ1" s="30"/>
      <c r="CR1" s="23" t="s">
        <v>39</v>
      </c>
      <c r="CS1" s="24"/>
      <c r="CT1" s="30"/>
      <c r="CU1" s="7" t="s">
        <v>42</v>
      </c>
      <c r="CV1" s="7" t="s">
        <v>35</v>
      </c>
      <c r="CW1" s="7" t="s">
        <v>37</v>
      </c>
      <c r="CX1" s="7" t="s">
        <v>36</v>
      </c>
      <c r="CY1" s="7" t="s">
        <v>38</v>
      </c>
      <c r="CZ1" s="7" t="s">
        <v>39</v>
      </c>
      <c r="DA1" s="7" t="s">
        <v>43</v>
      </c>
    </row>
    <row r="2" spans="1:105" x14ac:dyDescent="0.3">
      <c r="A2" s="25"/>
      <c r="B2" s="14"/>
      <c r="C2" s="31"/>
      <c r="D2" s="47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6"/>
      <c r="AC2" s="47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6"/>
      <c r="BK2" s="25"/>
      <c r="BL2" s="14"/>
      <c r="BM2" s="14"/>
      <c r="BN2" s="14"/>
      <c r="BO2" s="31"/>
      <c r="BP2" s="25"/>
      <c r="BQ2" s="14"/>
      <c r="BR2" s="14"/>
      <c r="BS2" s="14"/>
      <c r="BT2" s="14"/>
      <c r="BU2" s="14"/>
      <c r="BV2" s="14"/>
      <c r="BW2" s="31"/>
      <c r="BX2" s="25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31"/>
      <c r="CO2" s="25"/>
      <c r="CP2" s="14"/>
      <c r="CQ2" s="31"/>
      <c r="CR2" s="25"/>
      <c r="CS2" s="14"/>
      <c r="CT2" s="31"/>
      <c r="CU2" s="8"/>
      <c r="CV2" s="8"/>
      <c r="CW2" s="8"/>
      <c r="CX2" s="8"/>
      <c r="CY2" s="8"/>
      <c r="CZ2" s="8"/>
      <c r="DA2" s="8"/>
    </row>
    <row r="3" spans="1:105" ht="15" thickBot="1" x14ac:dyDescent="0.35">
      <c r="A3" s="26"/>
      <c r="B3" s="27"/>
      <c r="C3" s="48"/>
      <c r="D3" s="32">
        <v>1</v>
      </c>
      <c r="E3" s="28">
        <v>2</v>
      </c>
      <c r="F3" s="28">
        <v>3</v>
      </c>
      <c r="G3" s="28">
        <v>4</v>
      </c>
      <c r="H3" s="28">
        <v>5</v>
      </c>
      <c r="I3" s="28">
        <v>6</v>
      </c>
      <c r="J3" s="28">
        <v>7</v>
      </c>
      <c r="K3" s="28">
        <v>8</v>
      </c>
      <c r="L3" s="28">
        <v>9</v>
      </c>
      <c r="M3" s="28">
        <v>10</v>
      </c>
      <c r="N3" s="28">
        <v>11</v>
      </c>
      <c r="O3" s="28">
        <v>12</v>
      </c>
      <c r="P3" s="28">
        <v>13</v>
      </c>
      <c r="Q3" s="28">
        <v>14</v>
      </c>
      <c r="R3" s="28">
        <v>15</v>
      </c>
      <c r="S3" s="28">
        <v>16</v>
      </c>
      <c r="T3" s="28">
        <v>17</v>
      </c>
      <c r="U3" s="28">
        <v>18</v>
      </c>
      <c r="V3" s="28">
        <v>19</v>
      </c>
      <c r="W3" s="28">
        <v>20</v>
      </c>
      <c r="X3" s="28">
        <v>21</v>
      </c>
      <c r="Y3" s="28">
        <v>22</v>
      </c>
      <c r="Z3" s="28">
        <v>23</v>
      </c>
      <c r="AA3" s="28">
        <v>24</v>
      </c>
      <c r="AB3" s="33">
        <v>25</v>
      </c>
      <c r="AC3" s="32">
        <v>1</v>
      </c>
      <c r="AD3" s="28">
        <v>2</v>
      </c>
      <c r="AE3" s="28">
        <v>3</v>
      </c>
      <c r="AF3" s="28">
        <v>4</v>
      </c>
      <c r="AG3" s="28">
        <v>5</v>
      </c>
      <c r="AH3" s="28">
        <v>6</v>
      </c>
      <c r="AI3" s="28">
        <v>7</v>
      </c>
      <c r="AJ3" s="28">
        <v>8</v>
      </c>
      <c r="AK3" s="28">
        <v>9</v>
      </c>
      <c r="AL3" s="28">
        <v>10</v>
      </c>
      <c r="AM3" s="28">
        <v>11</v>
      </c>
      <c r="AN3" s="28">
        <v>12</v>
      </c>
      <c r="AO3" s="28">
        <v>13</v>
      </c>
      <c r="AP3" s="28">
        <v>14</v>
      </c>
      <c r="AQ3" s="28">
        <v>15</v>
      </c>
      <c r="AR3" s="28">
        <v>16</v>
      </c>
      <c r="AS3" s="28">
        <v>17</v>
      </c>
      <c r="AT3" s="28">
        <v>18</v>
      </c>
      <c r="AU3" s="28">
        <v>19</v>
      </c>
      <c r="AV3" s="28">
        <v>20</v>
      </c>
      <c r="AW3" s="28">
        <v>21</v>
      </c>
      <c r="AX3" s="28">
        <v>22</v>
      </c>
      <c r="AY3" s="28">
        <v>23</v>
      </c>
      <c r="AZ3" s="28">
        <v>24</v>
      </c>
      <c r="BA3" s="28">
        <v>25</v>
      </c>
      <c r="BB3" s="28">
        <v>26</v>
      </c>
      <c r="BC3" s="28">
        <v>27</v>
      </c>
      <c r="BD3" s="28">
        <v>28</v>
      </c>
      <c r="BE3" s="28">
        <v>29</v>
      </c>
      <c r="BF3" s="28">
        <v>30</v>
      </c>
      <c r="BG3" s="28">
        <v>31</v>
      </c>
      <c r="BH3" s="28">
        <v>32</v>
      </c>
      <c r="BI3" s="28">
        <v>33</v>
      </c>
      <c r="BJ3" s="33">
        <v>34</v>
      </c>
      <c r="BK3" s="32">
        <v>1</v>
      </c>
      <c r="BL3" s="28">
        <v>2</v>
      </c>
      <c r="BM3" s="28">
        <v>3</v>
      </c>
      <c r="BN3" s="28">
        <v>4</v>
      </c>
      <c r="BO3" s="33">
        <v>5</v>
      </c>
      <c r="BP3" s="32">
        <v>1</v>
      </c>
      <c r="BQ3" s="28">
        <v>2</v>
      </c>
      <c r="BR3" s="28">
        <v>3</v>
      </c>
      <c r="BS3" s="28">
        <v>4</v>
      </c>
      <c r="BT3" s="28">
        <v>5</v>
      </c>
      <c r="BU3" s="28">
        <v>6</v>
      </c>
      <c r="BV3" s="28">
        <v>7</v>
      </c>
      <c r="BW3" s="33">
        <v>8</v>
      </c>
      <c r="BX3" s="32">
        <v>1</v>
      </c>
      <c r="BY3" s="28">
        <v>2</v>
      </c>
      <c r="BZ3" s="28">
        <v>3</v>
      </c>
      <c r="CA3" s="28">
        <v>4</v>
      </c>
      <c r="CB3" s="28">
        <v>5</v>
      </c>
      <c r="CC3" s="28">
        <v>6</v>
      </c>
      <c r="CD3" s="28">
        <v>7</v>
      </c>
      <c r="CE3" s="28">
        <v>8</v>
      </c>
      <c r="CF3" s="28">
        <v>9</v>
      </c>
      <c r="CG3" s="28">
        <v>10</v>
      </c>
      <c r="CH3" s="28">
        <v>11</v>
      </c>
      <c r="CI3" s="28">
        <v>12</v>
      </c>
      <c r="CJ3" s="28">
        <v>13</v>
      </c>
      <c r="CK3" s="28">
        <v>14</v>
      </c>
      <c r="CL3" s="28">
        <v>15</v>
      </c>
      <c r="CM3" s="28">
        <v>16</v>
      </c>
      <c r="CN3" s="33">
        <v>17</v>
      </c>
      <c r="CO3" s="32">
        <v>1</v>
      </c>
      <c r="CP3" s="28">
        <v>2</v>
      </c>
      <c r="CQ3" s="33">
        <v>3</v>
      </c>
      <c r="CR3" s="32">
        <v>1</v>
      </c>
      <c r="CS3" s="28">
        <v>2</v>
      </c>
      <c r="CT3" s="33">
        <v>3</v>
      </c>
      <c r="CU3" s="29"/>
      <c r="CV3" s="29"/>
      <c r="CW3" s="29"/>
      <c r="CX3" s="29"/>
      <c r="CY3" s="29"/>
      <c r="CZ3" s="29"/>
      <c r="DA3" s="29"/>
    </row>
    <row r="4" spans="1:105" x14ac:dyDescent="0.3">
      <c r="A4" s="41">
        <v>1</v>
      </c>
      <c r="B4" s="20" t="s">
        <v>19</v>
      </c>
      <c r="C4" s="35"/>
      <c r="D4" s="34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35"/>
      <c r="AC4" s="41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42"/>
      <c r="BK4" s="41"/>
      <c r="BL4" s="19"/>
      <c r="BM4" s="19"/>
      <c r="BN4" s="19"/>
      <c r="BO4" s="42"/>
      <c r="BP4" s="41"/>
      <c r="BQ4" s="19"/>
      <c r="BR4" s="19"/>
      <c r="BS4" s="19"/>
      <c r="BT4" s="19"/>
      <c r="BU4" s="19"/>
      <c r="BV4" s="19"/>
      <c r="BW4" s="42"/>
      <c r="BX4" s="34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35"/>
      <c r="CO4" s="34"/>
      <c r="CP4" s="21"/>
      <c r="CQ4" s="35"/>
      <c r="CR4" s="34"/>
      <c r="CS4" s="21"/>
      <c r="CT4" s="35"/>
      <c r="CU4" s="22">
        <f>COUNTIF(D4:BJ4,"н")</f>
        <v>0</v>
      </c>
      <c r="CV4" s="22">
        <f>IF(COUNT($BK4:$BO4)=0,0,AVERAGE($BK4:$BO4))</f>
        <v>0</v>
      </c>
      <c r="CW4" s="22">
        <f>IF(COUNT($BP4:$BW4)=0,0,AVERAGE($BP4:$BW4))</f>
        <v>0</v>
      </c>
      <c r="CX4" s="22">
        <f>IF(COUNT($BX4:$CN4)=0,0,AVERAGE($BX4:$CN4))</f>
        <v>0</v>
      </c>
      <c r="CY4" s="22">
        <f>IF(COUNT($CO4:$CQ4)=0,0,AVERAGE($CO4:$CQ4))</f>
        <v>0</v>
      </c>
      <c r="CZ4" s="22">
        <f>IF(COUNT($CR4:$CT4)=0,0,AVERAGE(($CR4:$CT4)))</f>
        <v>0</v>
      </c>
      <c r="DA4" s="22">
        <f>ROUND(IF(COUNTIF($CV4:$CZ4,"&gt;0")=5,AVERAGE($CV4:$CZ4),SUM($CV4:$CZ4)/6)-MIN(1,$CU4*0.05),2)</f>
        <v>0</v>
      </c>
    </row>
    <row r="5" spans="1:105" x14ac:dyDescent="0.3">
      <c r="A5" s="43">
        <v>2</v>
      </c>
      <c r="B5" s="16" t="s">
        <v>20</v>
      </c>
      <c r="C5" s="37"/>
      <c r="D5" s="3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37"/>
      <c r="AC5" s="43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44"/>
      <c r="BK5" s="43"/>
      <c r="BL5" s="15"/>
      <c r="BM5" s="15"/>
      <c r="BN5" s="15"/>
      <c r="BO5" s="44"/>
      <c r="BP5" s="43"/>
      <c r="BQ5" s="15"/>
      <c r="BR5" s="15"/>
      <c r="BS5" s="15"/>
      <c r="BT5" s="15"/>
      <c r="BU5" s="15"/>
      <c r="BV5" s="15"/>
      <c r="BW5" s="44"/>
      <c r="BX5" s="36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37"/>
      <c r="CO5" s="36"/>
      <c r="CP5" s="17"/>
      <c r="CQ5" s="37"/>
      <c r="CR5" s="36"/>
      <c r="CS5" s="17"/>
      <c r="CT5" s="37"/>
      <c r="CU5" s="9">
        <f t="shared" ref="CU5:CU19" si="0">COUNTIF(D5:BJ5,"н")</f>
        <v>0</v>
      </c>
      <c r="CV5" s="9">
        <f>IF(COUNT($BK5:$BO5)=0,0,AVERAGE($BK5:$BO5))</f>
        <v>0</v>
      </c>
      <c r="CW5" s="9">
        <f>IF(COUNT($BP5:$BW5)=0,0,AVERAGE($BP5:$BW5))</f>
        <v>0</v>
      </c>
      <c r="CX5" s="9">
        <f>IF(COUNT($BX5:$CN5)=0,0,AVERAGE($BX5:$CN5))</f>
        <v>0</v>
      </c>
      <c r="CY5" s="9">
        <f t="shared" ref="CY5:CY19" si="1">IF(COUNT($CO5:$CQ5)=0,0,AVERAGE($CO5:$CQ5))</f>
        <v>0</v>
      </c>
      <c r="CZ5" s="9">
        <f t="shared" ref="CZ5:CZ19" si="2">IF(COUNT($CR5:$CT5)=0,0,AVERAGE(($CR5:$CT5)))</f>
        <v>0</v>
      </c>
      <c r="DA5" s="9">
        <f t="shared" ref="DA5:DA19" si="3">ROUND(IF(COUNTIF($CV5:$CZ5,"&gt;0")=5,AVERAGE($CV5:$CZ5),SUM($CV5:$CZ5)/6)-MIN(1,$CU5*0.05),2)</f>
        <v>0</v>
      </c>
    </row>
    <row r="6" spans="1:105" x14ac:dyDescent="0.3">
      <c r="A6" s="43">
        <v>3</v>
      </c>
      <c r="B6" s="16" t="s">
        <v>21</v>
      </c>
      <c r="C6" s="37"/>
      <c r="D6" s="36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37"/>
      <c r="AC6" s="43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44"/>
      <c r="BK6" s="43"/>
      <c r="BL6" s="15"/>
      <c r="BM6" s="15"/>
      <c r="BN6" s="15"/>
      <c r="BO6" s="44"/>
      <c r="BP6" s="43"/>
      <c r="BQ6" s="15"/>
      <c r="BR6" s="15"/>
      <c r="BS6" s="15"/>
      <c r="BT6" s="15"/>
      <c r="BU6" s="15"/>
      <c r="BV6" s="15"/>
      <c r="BW6" s="44"/>
      <c r="BX6" s="36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37"/>
      <c r="CO6" s="36"/>
      <c r="CP6" s="17"/>
      <c r="CQ6" s="37"/>
      <c r="CR6" s="36"/>
      <c r="CS6" s="17"/>
      <c r="CT6" s="37"/>
      <c r="CU6" s="9">
        <f t="shared" si="0"/>
        <v>0</v>
      </c>
      <c r="CV6" s="9">
        <f>IF(COUNT($BK6:$BO6)=0,0,AVERAGE($BK6:$BO6))</f>
        <v>0</v>
      </c>
      <c r="CW6" s="9">
        <f>IF(COUNT($BP6:$BW6)=0,0,AVERAGE($BP6:$BW6))</f>
        <v>0</v>
      </c>
      <c r="CX6" s="9">
        <f>IF(COUNT($BX6:$CN6)=0,0,AVERAGE($BX6:$CN6))</f>
        <v>0</v>
      </c>
      <c r="CY6" s="9">
        <f t="shared" si="1"/>
        <v>0</v>
      </c>
      <c r="CZ6" s="9">
        <f t="shared" si="2"/>
        <v>0</v>
      </c>
      <c r="DA6" s="9">
        <f t="shared" si="3"/>
        <v>0</v>
      </c>
    </row>
    <row r="7" spans="1:105" x14ac:dyDescent="0.3">
      <c r="A7" s="43">
        <v>4</v>
      </c>
      <c r="B7" s="16" t="s">
        <v>22</v>
      </c>
      <c r="C7" s="37"/>
      <c r="D7" s="36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37"/>
      <c r="AC7" s="43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44"/>
      <c r="BK7" s="43"/>
      <c r="BL7" s="15"/>
      <c r="BM7" s="15"/>
      <c r="BN7" s="15"/>
      <c r="BO7" s="44"/>
      <c r="BP7" s="43"/>
      <c r="BQ7" s="15"/>
      <c r="BR7" s="15"/>
      <c r="BS7" s="15"/>
      <c r="BT7" s="15"/>
      <c r="BU7" s="15"/>
      <c r="BV7" s="15"/>
      <c r="BW7" s="44"/>
      <c r="BX7" s="36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37"/>
      <c r="CO7" s="36"/>
      <c r="CP7" s="17"/>
      <c r="CQ7" s="37"/>
      <c r="CR7" s="36"/>
      <c r="CS7" s="17"/>
      <c r="CT7" s="37"/>
      <c r="CU7" s="9">
        <f t="shared" si="0"/>
        <v>0</v>
      </c>
      <c r="CV7" s="9">
        <f>IF(COUNT($BK7:$BO7)=0,0,AVERAGE($BK7:$BO7))</f>
        <v>0</v>
      </c>
      <c r="CW7" s="9">
        <f>IF(COUNT($BP7:$BW7)=0,0,AVERAGE($BP7:$BW7))</f>
        <v>0</v>
      </c>
      <c r="CX7" s="9">
        <f>IF(COUNT($BX7:$CN7)=0,0,AVERAGE($BX7:$CN7))</f>
        <v>0</v>
      </c>
      <c r="CY7" s="9">
        <f t="shared" si="1"/>
        <v>0</v>
      </c>
      <c r="CZ7" s="9">
        <f t="shared" si="2"/>
        <v>0</v>
      </c>
      <c r="DA7" s="9">
        <f t="shared" si="3"/>
        <v>0</v>
      </c>
    </row>
    <row r="8" spans="1:105" x14ac:dyDescent="0.3">
      <c r="A8" s="43">
        <v>5</v>
      </c>
      <c r="B8" s="16" t="s">
        <v>23</v>
      </c>
      <c r="C8" s="37"/>
      <c r="D8" s="3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37"/>
      <c r="AC8" s="43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44"/>
      <c r="BK8" s="43"/>
      <c r="BL8" s="15"/>
      <c r="BM8" s="15"/>
      <c r="BN8" s="15"/>
      <c r="BO8" s="44"/>
      <c r="BP8" s="43"/>
      <c r="BQ8" s="15"/>
      <c r="BR8" s="15"/>
      <c r="BS8" s="15"/>
      <c r="BT8" s="15"/>
      <c r="BU8" s="15"/>
      <c r="BV8" s="15"/>
      <c r="BW8" s="44"/>
      <c r="BX8" s="36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37"/>
      <c r="CO8" s="36"/>
      <c r="CP8" s="17"/>
      <c r="CQ8" s="37"/>
      <c r="CR8" s="36"/>
      <c r="CS8" s="17"/>
      <c r="CT8" s="37"/>
      <c r="CU8" s="9">
        <f t="shared" si="0"/>
        <v>0</v>
      </c>
      <c r="CV8" s="9">
        <f>IF(COUNT($BK8:$BO8)=0,0,AVERAGE($BK8:$BO8))</f>
        <v>0</v>
      </c>
      <c r="CW8" s="9">
        <f>IF(COUNT($BP8:$BW8)=0,0,AVERAGE($BP8:$BW8))</f>
        <v>0</v>
      </c>
      <c r="CX8" s="9">
        <f>IF(COUNT($BX8:$CN8)=0,0,AVERAGE($BX8:$CN8))</f>
        <v>0</v>
      </c>
      <c r="CY8" s="9">
        <f t="shared" si="1"/>
        <v>0</v>
      </c>
      <c r="CZ8" s="9">
        <f t="shared" si="2"/>
        <v>0</v>
      </c>
      <c r="DA8" s="9">
        <f t="shared" si="3"/>
        <v>0</v>
      </c>
    </row>
    <row r="9" spans="1:105" x14ac:dyDescent="0.3">
      <c r="A9" s="43">
        <v>6</v>
      </c>
      <c r="B9" s="16" t="s">
        <v>24</v>
      </c>
      <c r="C9" s="37"/>
      <c r="D9" s="3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37"/>
      <c r="AC9" s="43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44"/>
      <c r="BK9" s="43"/>
      <c r="BL9" s="15"/>
      <c r="BM9" s="15"/>
      <c r="BN9" s="15"/>
      <c r="BO9" s="44"/>
      <c r="BP9" s="43"/>
      <c r="BQ9" s="15"/>
      <c r="BR9" s="15"/>
      <c r="BS9" s="15"/>
      <c r="BT9" s="15"/>
      <c r="BU9" s="15"/>
      <c r="BV9" s="15"/>
      <c r="BW9" s="44"/>
      <c r="BX9" s="36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37"/>
      <c r="CO9" s="36"/>
      <c r="CP9" s="17"/>
      <c r="CQ9" s="37"/>
      <c r="CR9" s="36"/>
      <c r="CS9" s="17"/>
      <c r="CT9" s="37"/>
      <c r="CU9" s="9">
        <f t="shared" si="0"/>
        <v>0</v>
      </c>
      <c r="CV9" s="9">
        <f>IF(COUNT($BK9:$BO9)=0,0,AVERAGE($BK9:$BO9))</f>
        <v>0</v>
      </c>
      <c r="CW9" s="9">
        <f>IF(COUNT($BP9:$BW9)=0,0,AVERAGE($BP9:$BW9))</f>
        <v>0</v>
      </c>
      <c r="CX9" s="9">
        <f>IF(COUNT($BX9:$CN9)=0,0,AVERAGE($BX9:$CN9))</f>
        <v>0</v>
      </c>
      <c r="CY9" s="9">
        <f t="shared" si="1"/>
        <v>0</v>
      </c>
      <c r="CZ9" s="9">
        <f t="shared" si="2"/>
        <v>0</v>
      </c>
      <c r="DA9" s="9">
        <f t="shared" si="3"/>
        <v>0</v>
      </c>
    </row>
    <row r="10" spans="1:105" x14ac:dyDescent="0.3">
      <c r="A10" s="43">
        <v>7</v>
      </c>
      <c r="B10" s="16" t="s">
        <v>25</v>
      </c>
      <c r="C10" s="37"/>
      <c r="D10" s="36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37"/>
      <c r="AC10" s="43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44"/>
      <c r="BK10" s="43"/>
      <c r="BL10" s="15"/>
      <c r="BM10" s="15"/>
      <c r="BN10" s="15"/>
      <c r="BO10" s="44"/>
      <c r="BP10" s="43"/>
      <c r="BQ10" s="15"/>
      <c r="BR10" s="15"/>
      <c r="BS10" s="15"/>
      <c r="BT10" s="15"/>
      <c r="BU10" s="15"/>
      <c r="BV10" s="15"/>
      <c r="BW10" s="44"/>
      <c r="BX10" s="36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37"/>
      <c r="CO10" s="36"/>
      <c r="CP10" s="17"/>
      <c r="CQ10" s="37"/>
      <c r="CR10" s="36"/>
      <c r="CS10" s="17"/>
      <c r="CT10" s="37"/>
      <c r="CU10" s="9">
        <f t="shared" si="0"/>
        <v>0</v>
      </c>
      <c r="CV10" s="9">
        <f>IF(COUNT($BK10:$BO10)=0,0,AVERAGE($BK10:$BO10))</f>
        <v>0</v>
      </c>
      <c r="CW10" s="9">
        <f>IF(COUNT($BP10:$BW10)=0,0,AVERAGE($BP10:$BW10))</f>
        <v>0</v>
      </c>
      <c r="CX10" s="9">
        <f>IF(COUNT($BX10:$CN10)=0,0,AVERAGE($BX10:$CN10))</f>
        <v>0</v>
      </c>
      <c r="CY10" s="9">
        <f t="shared" si="1"/>
        <v>0</v>
      </c>
      <c r="CZ10" s="9">
        <f t="shared" si="2"/>
        <v>0</v>
      </c>
      <c r="DA10" s="9">
        <f t="shared" si="3"/>
        <v>0</v>
      </c>
    </row>
    <row r="11" spans="1:105" x14ac:dyDescent="0.3">
      <c r="A11" s="43">
        <v>8</v>
      </c>
      <c r="B11" s="16" t="s">
        <v>26</v>
      </c>
      <c r="C11" s="37"/>
      <c r="D11" s="3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37"/>
      <c r="AC11" s="43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44"/>
      <c r="BK11" s="43"/>
      <c r="BL11" s="15"/>
      <c r="BM11" s="15"/>
      <c r="BN11" s="15"/>
      <c r="BO11" s="44"/>
      <c r="BP11" s="43"/>
      <c r="BQ11" s="15"/>
      <c r="BR11" s="15"/>
      <c r="BS11" s="15"/>
      <c r="BT11" s="15"/>
      <c r="BU11" s="15"/>
      <c r="BV11" s="15"/>
      <c r="BW11" s="44"/>
      <c r="BX11" s="36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37"/>
      <c r="CO11" s="36"/>
      <c r="CP11" s="17"/>
      <c r="CQ11" s="37"/>
      <c r="CR11" s="36"/>
      <c r="CS11" s="17"/>
      <c r="CT11" s="37"/>
      <c r="CU11" s="9">
        <f t="shared" si="0"/>
        <v>0</v>
      </c>
      <c r="CV11" s="9">
        <f>IF(COUNT($BK11:$BO11)=0,0,AVERAGE($BK11:$BO11))</f>
        <v>0</v>
      </c>
      <c r="CW11" s="9">
        <f>IF(COUNT($BP11:$BW11)=0,0,AVERAGE($BP11:$BW11))</f>
        <v>0</v>
      </c>
      <c r="CX11" s="9">
        <f>IF(COUNT($BX11:$CN11)=0,0,AVERAGE($BX11:$CN11))</f>
        <v>0</v>
      </c>
      <c r="CY11" s="9">
        <f t="shared" si="1"/>
        <v>0</v>
      </c>
      <c r="CZ11" s="9">
        <f t="shared" si="2"/>
        <v>0</v>
      </c>
      <c r="DA11" s="9">
        <f t="shared" si="3"/>
        <v>0</v>
      </c>
    </row>
    <row r="12" spans="1:105" x14ac:dyDescent="0.3">
      <c r="A12" s="43">
        <v>9</v>
      </c>
      <c r="B12" s="16" t="s">
        <v>27</v>
      </c>
      <c r="C12" s="37"/>
      <c r="D12" s="3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37"/>
      <c r="AC12" s="43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44"/>
      <c r="BK12" s="43"/>
      <c r="BL12" s="15"/>
      <c r="BM12" s="15"/>
      <c r="BN12" s="15"/>
      <c r="BO12" s="44"/>
      <c r="BP12" s="43"/>
      <c r="BQ12" s="15"/>
      <c r="BR12" s="15"/>
      <c r="BS12" s="15"/>
      <c r="BT12" s="15"/>
      <c r="BU12" s="15"/>
      <c r="BV12" s="15"/>
      <c r="BW12" s="44"/>
      <c r="BX12" s="36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37"/>
      <c r="CO12" s="36"/>
      <c r="CP12" s="17"/>
      <c r="CQ12" s="37"/>
      <c r="CR12" s="36"/>
      <c r="CS12" s="17"/>
      <c r="CT12" s="37"/>
      <c r="CU12" s="9">
        <f t="shared" si="0"/>
        <v>0</v>
      </c>
      <c r="CV12" s="9">
        <f>IF(COUNT($BK12:$BO12)=0,0,AVERAGE($BK12:$BO12))</f>
        <v>0</v>
      </c>
      <c r="CW12" s="9">
        <f>IF(COUNT($BP12:$BW12)=0,0,AVERAGE($BP12:$BW12))</f>
        <v>0</v>
      </c>
      <c r="CX12" s="9">
        <f>IF(COUNT($BX12:$CN12)=0,0,AVERAGE($BX12:$CN12))</f>
        <v>0</v>
      </c>
      <c r="CY12" s="9">
        <f t="shared" si="1"/>
        <v>0</v>
      </c>
      <c r="CZ12" s="9">
        <f t="shared" si="2"/>
        <v>0</v>
      </c>
      <c r="DA12" s="9">
        <f t="shared" si="3"/>
        <v>0</v>
      </c>
    </row>
    <row r="13" spans="1:105" x14ac:dyDescent="0.3">
      <c r="A13" s="43">
        <v>10</v>
      </c>
      <c r="B13" s="16" t="s">
        <v>28</v>
      </c>
      <c r="C13" s="37"/>
      <c r="D13" s="3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37"/>
      <c r="AC13" s="43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44"/>
      <c r="BK13" s="43"/>
      <c r="BL13" s="15"/>
      <c r="BM13" s="15"/>
      <c r="BN13" s="15"/>
      <c r="BO13" s="44"/>
      <c r="BP13" s="43"/>
      <c r="BQ13" s="15"/>
      <c r="BR13" s="15"/>
      <c r="BS13" s="15"/>
      <c r="BT13" s="15"/>
      <c r="BU13" s="15"/>
      <c r="BV13" s="15"/>
      <c r="BW13" s="44"/>
      <c r="BX13" s="36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37"/>
      <c r="CO13" s="36"/>
      <c r="CP13" s="17"/>
      <c r="CQ13" s="37"/>
      <c r="CR13" s="36"/>
      <c r="CS13" s="17"/>
      <c r="CT13" s="37"/>
      <c r="CU13" s="9">
        <f t="shared" si="0"/>
        <v>0</v>
      </c>
      <c r="CV13" s="9">
        <f>IF(COUNT($BK13:$BO13)=0,0,AVERAGE($BK13:$BO13))</f>
        <v>0</v>
      </c>
      <c r="CW13" s="9">
        <f>IF(COUNT($BP13:$BW13)=0,0,AVERAGE($BP13:$BW13))</f>
        <v>0</v>
      </c>
      <c r="CX13" s="9">
        <f>IF(COUNT($BX13:$CN13)=0,0,AVERAGE($BX13:$CN13))</f>
        <v>0</v>
      </c>
      <c r="CY13" s="9">
        <f t="shared" si="1"/>
        <v>0</v>
      </c>
      <c r="CZ13" s="9">
        <f t="shared" si="2"/>
        <v>0</v>
      </c>
      <c r="DA13" s="9">
        <f t="shared" si="3"/>
        <v>0</v>
      </c>
    </row>
    <row r="14" spans="1:105" x14ac:dyDescent="0.3">
      <c r="A14" s="43">
        <v>11</v>
      </c>
      <c r="B14" s="16" t="s">
        <v>29</v>
      </c>
      <c r="C14" s="37"/>
      <c r="D14" s="3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37"/>
      <c r="AC14" s="43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44"/>
      <c r="BK14" s="43"/>
      <c r="BL14" s="15"/>
      <c r="BM14" s="15"/>
      <c r="BN14" s="15"/>
      <c r="BO14" s="44"/>
      <c r="BP14" s="43"/>
      <c r="BQ14" s="15"/>
      <c r="BR14" s="15"/>
      <c r="BS14" s="15"/>
      <c r="BT14" s="15"/>
      <c r="BU14" s="15"/>
      <c r="BV14" s="15"/>
      <c r="BW14" s="44"/>
      <c r="BX14" s="36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37"/>
      <c r="CO14" s="36"/>
      <c r="CP14" s="17"/>
      <c r="CQ14" s="37"/>
      <c r="CR14" s="36"/>
      <c r="CS14" s="17"/>
      <c r="CT14" s="37"/>
      <c r="CU14" s="9">
        <f t="shared" si="0"/>
        <v>0</v>
      </c>
      <c r="CV14" s="9">
        <f>IF(COUNT($BK14:$BO14)=0,0,AVERAGE($BK14:$BO14))</f>
        <v>0</v>
      </c>
      <c r="CW14" s="9">
        <f>IF(COUNT($BP14:$BW14)=0,0,AVERAGE($BP14:$BW14))</f>
        <v>0</v>
      </c>
      <c r="CX14" s="9">
        <f>IF(COUNT($BX14:$CN14)=0,0,AVERAGE($BX14:$CN14))</f>
        <v>0</v>
      </c>
      <c r="CY14" s="9">
        <f t="shared" si="1"/>
        <v>0</v>
      </c>
      <c r="CZ14" s="9">
        <f t="shared" si="2"/>
        <v>0</v>
      </c>
      <c r="DA14" s="9">
        <f t="shared" si="3"/>
        <v>0</v>
      </c>
    </row>
    <row r="15" spans="1:105" x14ac:dyDescent="0.3">
      <c r="A15" s="43">
        <v>12</v>
      </c>
      <c r="B15" s="16" t="s">
        <v>30</v>
      </c>
      <c r="C15" s="37"/>
      <c r="D15" s="3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37"/>
      <c r="AC15" s="43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44"/>
      <c r="BK15" s="43"/>
      <c r="BL15" s="15"/>
      <c r="BM15" s="15"/>
      <c r="BN15" s="15"/>
      <c r="BO15" s="44"/>
      <c r="BP15" s="43"/>
      <c r="BQ15" s="15"/>
      <c r="BR15" s="15"/>
      <c r="BS15" s="15"/>
      <c r="BT15" s="15"/>
      <c r="BU15" s="15"/>
      <c r="BV15" s="15"/>
      <c r="BW15" s="44"/>
      <c r="BX15" s="36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37"/>
      <c r="CO15" s="36"/>
      <c r="CP15" s="17"/>
      <c r="CQ15" s="37"/>
      <c r="CR15" s="36"/>
      <c r="CS15" s="17"/>
      <c r="CT15" s="37"/>
      <c r="CU15" s="9">
        <f t="shared" si="0"/>
        <v>0</v>
      </c>
      <c r="CV15" s="9">
        <f>IF(COUNT($BK15:$BO15)=0,0,AVERAGE($BK15:$BO15))</f>
        <v>0</v>
      </c>
      <c r="CW15" s="9">
        <f>IF(COUNT($BP15:$BW15)=0,0,AVERAGE($BP15:$BW15))</f>
        <v>0</v>
      </c>
      <c r="CX15" s="9">
        <f>IF(COUNT($BX15:$CN15)=0,0,AVERAGE($BX15:$CN15))</f>
        <v>0</v>
      </c>
      <c r="CY15" s="9">
        <f t="shared" si="1"/>
        <v>0</v>
      </c>
      <c r="CZ15" s="9">
        <f t="shared" si="2"/>
        <v>0</v>
      </c>
      <c r="DA15" s="9">
        <f t="shared" si="3"/>
        <v>0</v>
      </c>
    </row>
    <row r="16" spans="1:105" x14ac:dyDescent="0.3">
      <c r="A16" s="43">
        <v>13</v>
      </c>
      <c r="B16" s="16" t="s">
        <v>31</v>
      </c>
      <c r="C16" s="37"/>
      <c r="D16" s="3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37"/>
      <c r="AC16" s="43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44"/>
      <c r="BK16" s="43"/>
      <c r="BL16" s="15"/>
      <c r="BM16" s="15"/>
      <c r="BN16" s="15"/>
      <c r="BO16" s="44"/>
      <c r="BP16" s="43"/>
      <c r="BQ16" s="15"/>
      <c r="BR16" s="15"/>
      <c r="BS16" s="15"/>
      <c r="BT16" s="15"/>
      <c r="BU16" s="15"/>
      <c r="BV16" s="15"/>
      <c r="BW16" s="44"/>
      <c r="BX16" s="36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37"/>
      <c r="CO16" s="36"/>
      <c r="CP16" s="17"/>
      <c r="CQ16" s="37"/>
      <c r="CR16" s="36"/>
      <c r="CS16" s="17"/>
      <c r="CT16" s="37"/>
      <c r="CU16" s="9">
        <f t="shared" si="0"/>
        <v>0</v>
      </c>
      <c r="CV16" s="9">
        <f>IF(COUNT($BK16:$BO16)=0,0,AVERAGE($BK16:$BO16))</f>
        <v>0</v>
      </c>
      <c r="CW16" s="9">
        <f>IF(COUNT($BP16:$BW16)=0,0,AVERAGE($BP16:$BW16))</f>
        <v>0</v>
      </c>
      <c r="CX16" s="9">
        <f>IF(COUNT($BX16:$CN16)=0,0,AVERAGE($BX16:$CN16))</f>
        <v>0</v>
      </c>
      <c r="CY16" s="9">
        <f t="shared" si="1"/>
        <v>0</v>
      </c>
      <c r="CZ16" s="9">
        <f t="shared" si="2"/>
        <v>0</v>
      </c>
      <c r="DA16" s="9">
        <f t="shared" si="3"/>
        <v>0</v>
      </c>
    </row>
    <row r="17" spans="1:105" x14ac:dyDescent="0.3">
      <c r="A17" s="43">
        <v>14</v>
      </c>
      <c r="B17" s="18" t="s">
        <v>32</v>
      </c>
      <c r="C17" s="37"/>
      <c r="D17" s="3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37"/>
      <c r="AC17" s="43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44"/>
      <c r="BK17" s="43"/>
      <c r="BL17" s="15"/>
      <c r="BM17" s="15"/>
      <c r="BN17" s="15"/>
      <c r="BO17" s="44"/>
      <c r="BP17" s="43"/>
      <c r="BQ17" s="15"/>
      <c r="BR17" s="15"/>
      <c r="BS17" s="15"/>
      <c r="BT17" s="15"/>
      <c r="BU17" s="15"/>
      <c r="BV17" s="15"/>
      <c r="BW17" s="44"/>
      <c r="BX17" s="36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37"/>
      <c r="CO17" s="36"/>
      <c r="CP17" s="17"/>
      <c r="CQ17" s="37"/>
      <c r="CR17" s="36"/>
      <c r="CS17" s="17"/>
      <c r="CT17" s="37"/>
      <c r="CU17" s="9">
        <f t="shared" si="0"/>
        <v>0</v>
      </c>
      <c r="CV17" s="9">
        <f>IF(COUNT($BK17:$BO17)=0,0,AVERAGE($BK17:$BO17))</f>
        <v>0</v>
      </c>
      <c r="CW17" s="9">
        <f>IF(COUNT($BP17:$BW17)=0,0,AVERAGE($BP17:$BW17))</f>
        <v>0</v>
      </c>
      <c r="CX17" s="9">
        <f>IF(COUNT($BX17:$CN17)=0,0,AVERAGE($BX17:$CN17))</f>
        <v>0</v>
      </c>
      <c r="CY17" s="9">
        <f t="shared" si="1"/>
        <v>0</v>
      </c>
      <c r="CZ17" s="9">
        <f t="shared" si="2"/>
        <v>0</v>
      </c>
      <c r="DA17" s="9">
        <f t="shared" si="3"/>
        <v>0</v>
      </c>
    </row>
    <row r="18" spans="1:105" x14ac:dyDescent="0.3">
      <c r="A18" s="43">
        <v>15</v>
      </c>
      <c r="B18" s="16" t="s">
        <v>33</v>
      </c>
      <c r="C18" s="37"/>
      <c r="D18" s="3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37"/>
      <c r="AC18" s="43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44"/>
      <c r="BK18" s="43"/>
      <c r="BL18" s="15"/>
      <c r="BM18" s="15"/>
      <c r="BN18" s="15"/>
      <c r="BO18" s="44"/>
      <c r="BP18" s="43"/>
      <c r="BQ18" s="15"/>
      <c r="BR18" s="15"/>
      <c r="BS18" s="15"/>
      <c r="BT18" s="15"/>
      <c r="BU18" s="15"/>
      <c r="BV18" s="15"/>
      <c r="BW18" s="44"/>
      <c r="BX18" s="36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37"/>
      <c r="CO18" s="36"/>
      <c r="CP18" s="17"/>
      <c r="CQ18" s="37"/>
      <c r="CR18" s="36"/>
      <c r="CS18" s="17"/>
      <c r="CT18" s="37"/>
      <c r="CU18" s="9">
        <f t="shared" si="0"/>
        <v>0</v>
      </c>
      <c r="CV18" s="9">
        <f>IF(COUNT($BK18:$BO18)=0,0,AVERAGE($BK18:$BO18))</f>
        <v>0</v>
      </c>
      <c r="CW18" s="9">
        <f>IF(COUNT($BP18:$BW18)=0,0,AVERAGE($BP18:$BW18))</f>
        <v>0</v>
      </c>
      <c r="CX18" s="9">
        <f>IF(COUNT($BX18:$CN18)=0,0,AVERAGE($BX18:$CN18))</f>
        <v>0</v>
      </c>
      <c r="CY18" s="9">
        <f t="shared" si="1"/>
        <v>0</v>
      </c>
      <c r="CZ18" s="9">
        <f t="shared" si="2"/>
        <v>0</v>
      </c>
      <c r="DA18" s="9">
        <f t="shared" si="3"/>
        <v>0</v>
      </c>
    </row>
    <row r="19" spans="1:105" ht="15" thickBot="1" x14ac:dyDescent="0.35">
      <c r="A19" s="32">
        <v>16</v>
      </c>
      <c r="B19" s="49" t="s">
        <v>34</v>
      </c>
      <c r="C19" s="40"/>
      <c r="D19" s="38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40"/>
      <c r="AC19" s="32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33"/>
      <c r="BK19" s="32"/>
      <c r="BL19" s="28"/>
      <c r="BM19" s="28"/>
      <c r="BN19" s="28"/>
      <c r="BO19" s="33"/>
      <c r="BP19" s="32"/>
      <c r="BQ19" s="28"/>
      <c r="BR19" s="28"/>
      <c r="BS19" s="28"/>
      <c r="BT19" s="28"/>
      <c r="BU19" s="28"/>
      <c r="BV19" s="28"/>
      <c r="BW19" s="33"/>
      <c r="BX19" s="38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40"/>
      <c r="CO19" s="38"/>
      <c r="CP19" s="39"/>
      <c r="CQ19" s="40"/>
      <c r="CR19" s="38"/>
      <c r="CS19" s="39"/>
      <c r="CT19" s="40"/>
      <c r="CU19" s="10">
        <f t="shared" si="0"/>
        <v>0</v>
      </c>
      <c r="CV19" s="10">
        <f>IF(COUNT($BK19:$BO19)=0,0,AVERAGE($BK19:$BO19))</f>
        <v>0</v>
      </c>
      <c r="CW19" s="10">
        <f>IF(COUNT($BP19:$BW19)=0,0,AVERAGE($BP19:$BW19))</f>
        <v>0</v>
      </c>
      <c r="CX19" s="10">
        <f>IF(COUNT($BX19:$CN19)=0,0,AVERAGE($BX19:$CN19))</f>
        <v>0</v>
      </c>
      <c r="CY19" s="10">
        <f t="shared" si="1"/>
        <v>0</v>
      </c>
      <c r="CZ19" s="10">
        <f t="shared" si="2"/>
        <v>0</v>
      </c>
      <c r="DA19" s="10">
        <f t="shared" si="3"/>
        <v>0</v>
      </c>
    </row>
  </sheetData>
  <mergeCells count="17">
    <mergeCell ref="CZ1:CZ3"/>
    <mergeCell ref="DA1:DA3"/>
    <mergeCell ref="A1:A3"/>
    <mergeCell ref="B1:B3"/>
    <mergeCell ref="C1:C3"/>
    <mergeCell ref="D1:AB2"/>
    <mergeCell ref="AC1:BJ2"/>
    <mergeCell ref="CR1:CT2"/>
    <mergeCell ref="CU1:CU3"/>
    <mergeCell ref="CV1:CV3"/>
    <mergeCell ref="CW1:CW3"/>
    <mergeCell ref="CX1:CX3"/>
    <mergeCell ref="CY1:CY3"/>
    <mergeCell ref="BK1:BO2"/>
    <mergeCell ref="BP1:BW2"/>
    <mergeCell ref="BX1:CN2"/>
    <mergeCell ref="CO1:C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A40D-6E4F-4DD7-AA50-DFA9F1E9D8A8}">
  <dimension ref="A1:DA19"/>
  <sheetViews>
    <sheetView workbookViewId="0">
      <selection activeCell="DA19" sqref="A1:DA19"/>
    </sheetView>
  </sheetViews>
  <sheetFormatPr defaultRowHeight="14.4" x14ac:dyDescent="0.3"/>
  <cols>
    <col min="1" max="1" width="3" style="4" bestFit="1" customWidth="1"/>
    <col min="2" max="2" width="33.6640625" style="5" customWidth="1"/>
    <col min="3" max="3" width="3.5546875" style="4" bestFit="1" customWidth="1"/>
    <col min="4" max="98" width="3" style="6" customWidth="1"/>
    <col min="99" max="105" width="7.44140625" style="6" customWidth="1"/>
  </cols>
  <sheetData>
    <row r="1" spans="1:105" s="3" customFormat="1" x14ac:dyDescent="0.3">
      <c r="A1" s="23" t="s">
        <v>0</v>
      </c>
      <c r="B1" s="24" t="s">
        <v>1</v>
      </c>
      <c r="C1" s="30" t="s">
        <v>2</v>
      </c>
      <c r="D1" s="11" t="s">
        <v>41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3"/>
      <c r="AC1" s="11" t="s">
        <v>40</v>
      </c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3"/>
      <c r="BK1" s="23" t="s">
        <v>35</v>
      </c>
      <c r="BL1" s="24"/>
      <c r="BM1" s="24"/>
      <c r="BN1" s="24"/>
      <c r="BO1" s="30"/>
      <c r="BP1" s="23" t="s">
        <v>37</v>
      </c>
      <c r="BQ1" s="24"/>
      <c r="BR1" s="24"/>
      <c r="BS1" s="24"/>
      <c r="BT1" s="24"/>
      <c r="BU1" s="24"/>
      <c r="BV1" s="24"/>
      <c r="BW1" s="30"/>
      <c r="BX1" s="23" t="s">
        <v>36</v>
      </c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30"/>
      <c r="CO1" s="23" t="s">
        <v>38</v>
      </c>
      <c r="CP1" s="24"/>
      <c r="CQ1" s="30"/>
      <c r="CR1" s="23" t="s">
        <v>39</v>
      </c>
      <c r="CS1" s="24"/>
      <c r="CT1" s="30"/>
      <c r="CU1" s="7" t="s">
        <v>42</v>
      </c>
      <c r="CV1" s="7" t="s">
        <v>35</v>
      </c>
      <c r="CW1" s="7" t="s">
        <v>37</v>
      </c>
      <c r="CX1" s="7" t="s">
        <v>36</v>
      </c>
      <c r="CY1" s="7" t="s">
        <v>38</v>
      </c>
      <c r="CZ1" s="7" t="s">
        <v>39</v>
      </c>
      <c r="DA1" s="7" t="s">
        <v>43</v>
      </c>
    </row>
    <row r="2" spans="1:105" x14ac:dyDescent="0.3">
      <c r="A2" s="25"/>
      <c r="B2" s="14"/>
      <c r="C2" s="31"/>
      <c r="D2" s="47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6"/>
      <c r="AC2" s="47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6"/>
      <c r="BK2" s="25"/>
      <c r="BL2" s="14"/>
      <c r="BM2" s="14"/>
      <c r="BN2" s="14"/>
      <c r="BO2" s="31"/>
      <c r="BP2" s="25"/>
      <c r="BQ2" s="14"/>
      <c r="BR2" s="14"/>
      <c r="BS2" s="14"/>
      <c r="BT2" s="14"/>
      <c r="BU2" s="14"/>
      <c r="BV2" s="14"/>
      <c r="BW2" s="31"/>
      <c r="BX2" s="25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31"/>
      <c r="CO2" s="25"/>
      <c r="CP2" s="14"/>
      <c r="CQ2" s="31"/>
      <c r="CR2" s="25"/>
      <c r="CS2" s="14"/>
      <c r="CT2" s="31"/>
      <c r="CU2" s="8"/>
      <c r="CV2" s="8"/>
      <c r="CW2" s="8"/>
      <c r="CX2" s="8"/>
      <c r="CY2" s="8"/>
      <c r="CZ2" s="8"/>
      <c r="DA2" s="8"/>
    </row>
    <row r="3" spans="1:105" ht="15" thickBot="1" x14ac:dyDescent="0.35">
      <c r="A3" s="26"/>
      <c r="B3" s="27"/>
      <c r="C3" s="48"/>
      <c r="D3" s="32">
        <v>1</v>
      </c>
      <c r="E3" s="28">
        <v>2</v>
      </c>
      <c r="F3" s="28">
        <v>3</v>
      </c>
      <c r="G3" s="28">
        <v>4</v>
      </c>
      <c r="H3" s="28">
        <v>5</v>
      </c>
      <c r="I3" s="28">
        <v>6</v>
      </c>
      <c r="J3" s="28">
        <v>7</v>
      </c>
      <c r="K3" s="28">
        <v>8</v>
      </c>
      <c r="L3" s="28">
        <v>9</v>
      </c>
      <c r="M3" s="28">
        <v>10</v>
      </c>
      <c r="N3" s="28">
        <v>11</v>
      </c>
      <c r="O3" s="28">
        <v>12</v>
      </c>
      <c r="P3" s="28">
        <v>13</v>
      </c>
      <c r="Q3" s="28">
        <v>14</v>
      </c>
      <c r="R3" s="28">
        <v>15</v>
      </c>
      <c r="S3" s="28">
        <v>16</v>
      </c>
      <c r="T3" s="28">
        <v>17</v>
      </c>
      <c r="U3" s="28">
        <v>18</v>
      </c>
      <c r="V3" s="28">
        <v>19</v>
      </c>
      <c r="W3" s="28">
        <v>20</v>
      </c>
      <c r="X3" s="28">
        <v>21</v>
      </c>
      <c r="Y3" s="28">
        <v>22</v>
      </c>
      <c r="Z3" s="28">
        <v>23</v>
      </c>
      <c r="AA3" s="28">
        <v>24</v>
      </c>
      <c r="AB3" s="33">
        <v>25</v>
      </c>
      <c r="AC3" s="32">
        <v>1</v>
      </c>
      <c r="AD3" s="28">
        <v>2</v>
      </c>
      <c r="AE3" s="28">
        <v>3</v>
      </c>
      <c r="AF3" s="28">
        <v>4</v>
      </c>
      <c r="AG3" s="28">
        <v>5</v>
      </c>
      <c r="AH3" s="28">
        <v>6</v>
      </c>
      <c r="AI3" s="28">
        <v>7</v>
      </c>
      <c r="AJ3" s="28">
        <v>8</v>
      </c>
      <c r="AK3" s="28">
        <v>9</v>
      </c>
      <c r="AL3" s="28">
        <v>10</v>
      </c>
      <c r="AM3" s="28">
        <v>11</v>
      </c>
      <c r="AN3" s="28">
        <v>12</v>
      </c>
      <c r="AO3" s="28">
        <v>13</v>
      </c>
      <c r="AP3" s="28">
        <v>14</v>
      </c>
      <c r="AQ3" s="28">
        <v>15</v>
      </c>
      <c r="AR3" s="28">
        <v>16</v>
      </c>
      <c r="AS3" s="28">
        <v>17</v>
      </c>
      <c r="AT3" s="28">
        <v>18</v>
      </c>
      <c r="AU3" s="28">
        <v>19</v>
      </c>
      <c r="AV3" s="28">
        <v>20</v>
      </c>
      <c r="AW3" s="28">
        <v>21</v>
      </c>
      <c r="AX3" s="28">
        <v>22</v>
      </c>
      <c r="AY3" s="28">
        <v>23</v>
      </c>
      <c r="AZ3" s="28">
        <v>24</v>
      </c>
      <c r="BA3" s="28">
        <v>25</v>
      </c>
      <c r="BB3" s="28">
        <v>26</v>
      </c>
      <c r="BC3" s="28">
        <v>27</v>
      </c>
      <c r="BD3" s="28">
        <v>28</v>
      </c>
      <c r="BE3" s="28">
        <v>29</v>
      </c>
      <c r="BF3" s="28">
        <v>30</v>
      </c>
      <c r="BG3" s="28">
        <v>31</v>
      </c>
      <c r="BH3" s="28">
        <v>32</v>
      </c>
      <c r="BI3" s="28">
        <v>33</v>
      </c>
      <c r="BJ3" s="33">
        <v>34</v>
      </c>
      <c r="BK3" s="32">
        <v>1</v>
      </c>
      <c r="BL3" s="28">
        <v>2</v>
      </c>
      <c r="BM3" s="28">
        <v>3</v>
      </c>
      <c r="BN3" s="28">
        <v>4</v>
      </c>
      <c r="BO3" s="33">
        <v>5</v>
      </c>
      <c r="BP3" s="32">
        <v>1</v>
      </c>
      <c r="BQ3" s="28">
        <v>2</v>
      </c>
      <c r="BR3" s="28">
        <v>3</v>
      </c>
      <c r="BS3" s="28">
        <v>4</v>
      </c>
      <c r="BT3" s="28">
        <v>5</v>
      </c>
      <c r="BU3" s="28">
        <v>6</v>
      </c>
      <c r="BV3" s="28">
        <v>7</v>
      </c>
      <c r="BW3" s="33">
        <v>8</v>
      </c>
      <c r="BX3" s="32">
        <v>1</v>
      </c>
      <c r="BY3" s="28">
        <v>2</v>
      </c>
      <c r="BZ3" s="28">
        <v>3</v>
      </c>
      <c r="CA3" s="28">
        <v>4</v>
      </c>
      <c r="CB3" s="28">
        <v>5</v>
      </c>
      <c r="CC3" s="28">
        <v>6</v>
      </c>
      <c r="CD3" s="28">
        <v>7</v>
      </c>
      <c r="CE3" s="28">
        <v>8</v>
      </c>
      <c r="CF3" s="28">
        <v>9</v>
      </c>
      <c r="CG3" s="28">
        <v>10</v>
      </c>
      <c r="CH3" s="28">
        <v>11</v>
      </c>
      <c r="CI3" s="28">
        <v>12</v>
      </c>
      <c r="CJ3" s="28">
        <v>13</v>
      </c>
      <c r="CK3" s="28">
        <v>14</v>
      </c>
      <c r="CL3" s="28">
        <v>15</v>
      </c>
      <c r="CM3" s="28">
        <v>16</v>
      </c>
      <c r="CN3" s="33">
        <v>17</v>
      </c>
      <c r="CO3" s="32">
        <v>1</v>
      </c>
      <c r="CP3" s="28">
        <v>2</v>
      </c>
      <c r="CQ3" s="33">
        <v>3</v>
      </c>
      <c r="CR3" s="32">
        <v>1</v>
      </c>
      <c r="CS3" s="28">
        <v>2</v>
      </c>
      <c r="CT3" s="33">
        <v>3</v>
      </c>
      <c r="CU3" s="29"/>
      <c r="CV3" s="29"/>
      <c r="CW3" s="29"/>
      <c r="CX3" s="29"/>
      <c r="CY3" s="29"/>
      <c r="CZ3" s="29"/>
      <c r="DA3" s="29"/>
    </row>
    <row r="4" spans="1:105" x14ac:dyDescent="0.3">
      <c r="A4" s="41">
        <v>1</v>
      </c>
      <c r="B4" s="20" t="s">
        <v>44</v>
      </c>
      <c r="C4" s="35"/>
      <c r="D4" s="34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35"/>
      <c r="AC4" s="41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42"/>
      <c r="BK4" s="41"/>
      <c r="BL4" s="19"/>
      <c r="BM4" s="19"/>
      <c r="BN4" s="19"/>
      <c r="BO4" s="42"/>
      <c r="BP4" s="41"/>
      <c r="BQ4" s="19"/>
      <c r="BR4" s="19"/>
      <c r="BS4" s="19"/>
      <c r="BT4" s="19"/>
      <c r="BU4" s="19"/>
      <c r="BV4" s="19"/>
      <c r="BW4" s="42"/>
      <c r="BX4" s="34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35"/>
      <c r="CO4" s="34"/>
      <c r="CP4" s="21"/>
      <c r="CQ4" s="35"/>
      <c r="CR4" s="34"/>
      <c r="CS4" s="21"/>
      <c r="CT4" s="35"/>
      <c r="CU4" s="22">
        <f>COUNTIF(D4:BJ4,"н")</f>
        <v>0</v>
      </c>
      <c r="CV4" s="22">
        <f>IF(COUNT($BK4:$BO4)=0,0,AVERAGE($BK4:$BO4))</f>
        <v>0</v>
      </c>
      <c r="CW4" s="22">
        <f>IF(COUNT($BP4:$BW4)=0,0,AVERAGE($BP4:$BW4))</f>
        <v>0</v>
      </c>
      <c r="CX4" s="22">
        <f>IF(COUNT($BX4:$CN4)=0,0,AVERAGE($BX4:$CN4))</f>
        <v>0</v>
      </c>
      <c r="CY4" s="22">
        <f>IF(COUNT($CO4:$CQ4)=0,0,AVERAGE($CO4:$CQ4))</f>
        <v>0</v>
      </c>
      <c r="CZ4" s="22">
        <f>IF(COUNT($CR4:$CT4)=0,0,AVERAGE(($CR4:$CT4)))</f>
        <v>0</v>
      </c>
      <c r="DA4" s="22">
        <f>ROUND(IF(COUNTIF($CV4:$CZ4,"&gt;0")=5,AVERAGE($CV4:$CZ4),SUM($CV4:$CZ4)/6)-MIN(1,$CU4*0.05),2)</f>
        <v>0</v>
      </c>
    </row>
    <row r="5" spans="1:105" x14ac:dyDescent="0.3">
      <c r="A5" s="43">
        <v>2</v>
      </c>
      <c r="B5" s="16" t="s">
        <v>45</v>
      </c>
      <c r="C5" s="37"/>
      <c r="D5" s="3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37"/>
      <c r="AC5" s="43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44"/>
      <c r="BK5" s="43"/>
      <c r="BL5" s="15"/>
      <c r="BM5" s="15"/>
      <c r="BN5" s="15"/>
      <c r="BO5" s="44"/>
      <c r="BP5" s="43"/>
      <c r="BQ5" s="15"/>
      <c r="BR5" s="15"/>
      <c r="BS5" s="15"/>
      <c r="BT5" s="15"/>
      <c r="BU5" s="15"/>
      <c r="BV5" s="15"/>
      <c r="BW5" s="44"/>
      <c r="BX5" s="36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37"/>
      <c r="CO5" s="36"/>
      <c r="CP5" s="17"/>
      <c r="CQ5" s="37"/>
      <c r="CR5" s="36"/>
      <c r="CS5" s="17"/>
      <c r="CT5" s="37"/>
      <c r="CU5" s="9">
        <f t="shared" ref="CU5:CU19" si="0">COUNTIF(D5:BJ5,"н")</f>
        <v>0</v>
      </c>
      <c r="CV5" s="9">
        <f>IF(COUNT($BK5:$BO5)=0,0,AVERAGE($BK5:$BO5))</f>
        <v>0</v>
      </c>
      <c r="CW5" s="9">
        <f>IF(COUNT($BP5:$BW5)=0,0,AVERAGE($BP5:$BW5))</f>
        <v>0</v>
      </c>
      <c r="CX5" s="9">
        <f>IF(COUNT($BX5:$CN5)=0,0,AVERAGE($BX5:$CN5))</f>
        <v>0</v>
      </c>
      <c r="CY5" s="9">
        <f t="shared" ref="CY5:CY19" si="1">IF(COUNT($CO5:$CQ5)=0,0,AVERAGE($CO5:$CQ5))</f>
        <v>0</v>
      </c>
      <c r="CZ5" s="9">
        <f t="shared" ref="CZ5:CZ19" si="2">IF(COUNT($CR5:$CT5)=0,0,AVERAGE(($CR5:$CT5)))</f>
        <v>0</v>
      </c>
      <c r="DA5" s="9">
        <f t="shared" ref="DA5:DA19" si="3">ROUND(IF(COUNTIF($CV5:$CZ5,"&gt;0")=5,AVERAGE($CV5:$CZ5),SUM($CV5:$CZ5)/6)-MIN(1,$CU5*0.05),2)</f>
        <v>0</v>
      </c>
    </row>
    <row r="6" spans="1:105" x14ac:dyDescent="0.3">
      <c r="A6" s="43">
        <v>3</v>
      </c>
      <c r="B6" s="16" t="s">
        <v>46</v>
      </c>
      <c r="C6" s="37"/>
      <c r="D6" s="36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37"/>
      <c r="AC6" s="43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44"/>
      <c r="BK6" s="43"/>
      <c r="BL6" s="15"/>
      <c r="BM6" s="15"/>
      <c r="BN6" s="15"/>
      <c r="BO6" s="44"/>
      <c r="BP6" s="43"/>
      <c r="BQ6" s="15"/>
      <c r="BR6" s="15"/>
      <c r="BS6" s="15"/>
      <c r="BT6" s="15"/>
      <c r="BU6" s="15"/>
      <c r="BV6" s="15"/>
      <c r="BW6" s="44"/>
      <c r="BX6" s="36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37"/>
      <c r="CO6" s="36"/>
      <c r="CP6" s="17"/>
      <c r="CQ6" s="37"/>
      <c r="CR6" s="36"/>
      <c r="CS6" s="17"/>
      <c r="CT6" s="37"/>
      <c r="CU6" s="9">
        <f t="shared" si="0"/>
        <v>0</v>
      </c>
      <c r="CV6" s="9">
        <f>IF(COUNT($BK6:$BO6)=0,0,AVERAGE($BK6:$BO6))</f>
        <v>0</v>
      </c>
      <c r="CW6" s="9">
        <f>IF(COUNT($BP6:$BW6)=0,0,AVERAGE($BP6:$BW6))</f>
        <v>0</v>
      </c>
      <c r="CX6" s="9">
        <f>IF(COUNT($BX6:$CN6)=0,0,AVERAGE($BX6:$CN6))</f>
        <v>0</v>
      </c>
      <c r="CY6" s="9">
        <f t="shared" si="1"/>
        <v>0</v>
      </c>
      <c r="CZ6" s="9">
        <f t="shared" si="2"/>
        <v>0</v>
      </c>
      <c r="DA6" s="9">
        <f t="shared" si="3"/>
        <v>0</v>
      </c>
    </row>
    <row r="7" spans="1:105" x14ac:dyDescent="0.3">
      <c r="A7" s="43">
        <v>4</v>
      </c>
      <c r="B7" s="16" t="s">
        <v>47</v>
      </c>
      <c r="C7" s="37"/>
      <c r="D7" s="36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37"/>
      <c r="AC7" s="43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44"/>
      <c r="BK7" s="43"/>
      <c r="BL7" s="15"/>
      <c r="BM7" s="15"/>
      <c r="BN7" s="15"/>
      <c r="BO7" s="44"/>
      <c r="BP7" s="43"/>
      <c r="BQ7" s="15"/>
      <c r="BR7" s="15"/>
      <c r="BS7" s="15"/>
      <c r="BT7" s="15"/>
      <c r="BU7" s="15"/>
      <c r="BV7" s="15"/>
      <c r="BW7" s="44"/>
      <c r="BX7" s="36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37"/>
      <c r="CO7" s="36"/>
      <c r="CP7" s="17"/>
      <c r="CQ7" s="37"/>
      <c r="CR7" s="36"/>
      <c r="CS7" s="17"/>
      <c r="CT7" s="37"/>
      <c r="CU7" s="9">
        <f t="shared" si="0"/>
        <v>0</v>
      </c>
      <c r="CV7" s="9">
        <f>IF(COUNT($BK7:$BO7)=0,0,AVERAGE($BK7:$BO7))</f>
        <v>0</v>
      </c>
      <c r="CW7" s="9">
        <f>IF(COUNT($BP7:$BW7)=0,0,AVERAGE($BP7:$BW7))</f>
        <v>0</v>
      </c>
      <c r="CX7" s="9">
        <f>IF(COUNT($BX7:$CN7)=0,0,AVERAGE($BX7:$CN7))</f>
        <v>0</v>
      </c>
      <c r="CY7" s="9">
        <f t="shared" si="1"/>
        <v>0</v>
      </c>
      <c r="CZ7" s="9">
        <f t="shared" si="2"/>
        <v>0</v>
      </c>
      <c r="DA7" s="9">
        <f t="shared" si="3"/>
        <v>0</v>
      </c>
    </row>
    <row r="8" spans="1:105" x14ac:dyDescent="0.3">
      <c r="A8" s="43">
        <v>5</v>
      </c>
      <c r="B8" s="16" t="s">
        <v>48</v>
      </c>
      <c r="C8" s="37"/>
      <c r="D8" s="3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37"/>
      <c r="AC8" s="43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44"/>
      <c r="BK8" s="43"/>
      <c r="BL8" s="15"/>
      <c r="BM8" s="15"/>
      <c r="BN8" s="15"/>
      <c r="BO8" s="44"/>
      <c r="BP8" s="43"/>
      <c r="BQ8" s="15"/>
      <c r="BR8" s="15"/>
      <c r="BS8" s="15"/>
      <c r="BT8" s="15"/>
      <c r="BU8" s="15"/>
      <c r="BV8" s="15"/>
      <c r="BW8" s="44"/>
      <c r="BX8" s="36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37"/>
      <c r="CO8" s="36"/>
      <c r="CP8" s="17"/>
      <c r="CQ8" s="37"/>
      <c r="CR8" s="36"/>
      <c r="CS8" s="17"/>
      <c r="CT8" s="37"/>
      <c r="CU8" s="9">
        <f t="shared" si="0"/>
        <v>0</v>
      </c>
      <c r="CV8" s="9">
        <f>IF(COUNT($BK8:$BO8)=0,0,AVERAGE($BK8:$BO8))</f>
        <v>0</v>
      </c>
      <c r="CW8" s="9">
        <f>IF(COUNT($BP8:$BW8)=0,0,AVERAGE($BP8:$BW8))</f>
        <v>0</v>
      </c>
      <c r="CX8" s="9">
        <f>IF(COUNT($BX8:$CN8)=0,0,AVERAGE($BX8:$CN8))</f>
        <v>0</v>
      </c>
      <c r="CY8" s="9">
        <f t="shared" si="1"/>
        <v>0</v>
      </c>
      <c r="CZ8" s="9">
        <f t="shared" si="2"/>
        <v>0</v>
      </c>
      <c r="DA8" s="9">
        <f t="shared" si="3"/>
        <v>0</v>
      </c>
    </row>
    <row r="9" spans="1:105" x14ac:dyDescent="0.3">
      <c r="A9" s="43">
        <v>6</v>
      </c>
      <c r="B9" s="16" t="s">
        <v>49</v>
      </c>
      <c r="C9" s="37"/>
      <c r="D9" s="3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37"/>
      <c r="AC9" s="43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44"/>
      <c r="BK9" s="43"/>
      <c r="BL9" s="15"/>
      <c r="BM9" s="15"/>
      <c r="BN9" s="15"/>
      <c r="BO9" s="44"/>
      <c r="BP9" s="43"/>
      <c r="BQ9" s="15"/>
      <c r="BR9" s="15"/>
      <c r="BS9" s="15"/>
      <c r="BT9" s="15"/>
      <c r="BU9" s="15"/>
      <c r="BV9" s="15"/>
      <c r="BW9" s="44"/>
      <c r="BX9" s="36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37"/>
      <c r="CO9" s="36"/>
      <c r="CP9" s="17"/>
      <c r="CQ9" s="37"/>
      <c r="CR9" s="36"/>
      <c r="CS9" s="17"/>
      <c r="CT9" s="37"/>
      <c r="CU9" s="9">
        <f t="shared" si="0"/>
        <v>0</v>
      </c>
      <c r="CV9" s="9">
        <f>IF(COUNT($BK9:$BO9)=0,0,AVERAGE($BK9:$BO9))</f>
        <v>0</v>
      </c>
      <c r="CW9" s="9">
        <f>IF(COUNT($BP9:$BW9)=0,0,AVERAGE($BP9:$BW9))</f>
        <v>0</v>
      </c>
      <c r="CX9" s="9">
        <f>IF(COUNT($BX9:$CN9)=0,0,AVERAGE($BX9:$CN9))</f>
        <v>0</v>
      </c>
      <c r="CY9" s="9">
        <f t="shared" si="1"/>
        <v>0</v>
      </c>
      <c r="CZ9" s="9">
        <f t="shared" si="2"/>
        <v>0</v>
      </c>
      <c r="DA9" s="9">
        <f t="shared" si="3"/>
        <v>0</v>
      </c>
    </row>
    <row r="10" spans="1:105" x14ac:dyDescent="0.3">
      <c r="A10" s="43">
        <v>7</v>
      </c>
      <c r="B10" s="16" t="s">
        <v>50</v>
      </c>
      <c r="C10" s="37"/>
      <c r="D10" s="36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37"/>
      <c r="AC10" s="43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44"/>
      <c r="BK10" s="43"/>
      <c r="BL10" s="15"/>
      <c r="BM10" s="15"/>
      <c r="BN10" s="15"/>
      <c r="BO10" s="44"/>
      <c r="BP10" s="43"/>
      <c r="BQ10" s="15"/>
      <c r="BR10" s="15"/>
      <c r="BS10" s="15"/>
      <c r="BT10" s="15"/>
      <c r="BU10" s="15"/>
      <c r="BV10" s="15"/>
      <c r="BW10" s="44"/>
      <c r="BX10" s="36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37"/>
      <c r="CO10" s="36"/>
      <c r="CP10" s="17"/>
      <c r="CQ10" s="37"/>
      <c r="CR10" s="36"/>
      <c r="CS10" s="17"/>
      <c r="CT10" s="37"/>
      <c r="CU10" s="9">
        <f t="shared" si="0"/>
        <v>0</v>
      </c>
      <c r="CV10" s="9">
        <f>IF(COUNT($BK10:$BO10)=0,0,AVERAGE($BK10:$BO10))</f>
        <v>0</v>
      </c>
      <c r="CW10" s="9">
        <f>IF(COUNT($BP10:$BW10)=0,0,AVERAGE($BP10:$BW10))</f>
        <v>0</v>
      </c>
      <c r="CX10" s="9">
        <f>IF(COUNT($BX10:$CN10)=0,0,AVERAGE($BX10:$CN10))</f>
        <v>0</v>
      </c>
      <c r="CY10" s="9">
        <f t="shared" si="1"/>
        <v>0</v>
      </c>
      <c r="CZ10" s="9">
        <f t="shared" si="2"/>
        <v>0</v>
      </c>
      <c r="DA10" s="9">
        <f t="shared" si="3"/>
        <v>0</v>
      </c>
    </row>
    <row r="11" spans="1:105" x14ac:dyDescent="0.3">
      <c r="A11" s="43">
        <v>8</v>
      </c>
      <c r="B11" s="16" t="s">
        <v>51</v>
      </c>
      <c r="C11" s="37"/>
      <c r="D11" s="3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37"/>
      <c r="AC11" s="43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44"/>
      <c r="BK11" s="43"/>
      <c r="BL11" s="15"/>
      <c r="BM11" s="15"/>
      <c r="BN11" s="15"/>
      <c r="BO11" s="44"/>
      <c r="BP11" s="43"/>
      <c r="BQ11" s="15"/>
      <c r="BR11" s="15"/>
      <c r="BS11" s="15"/>
      <c r="BT11" s="15"/>
      <c r="BU11" s="15"/>
      <c r="BV11" s="15"/>
      <c r="BW11" s="44"/>
      <c r="BX11" s="36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37"/>
      <c r="CO11" s="36"/>
      <c r="CP11" s="17"/>
      <c r="CQ11" s="37"/>
      <c r="CR11" s="36"/>
      <c r="CS11" s="17"/>
      <c r="CT11" s="37"/>
      <c r="CU11" s="9">
        <f t="shared" si="0"/>
        <v>0</v>
      </c>
      <c r="CV11" s="9">
        <f>IF(COUNT($BK11:$BO11)=0,0,AVERAGE($BK11:$BO11))</f>
        <v>0</v>
      </c>
      <c r="CW11" s="9">
        <f>IF(COUNT($BP11:$BW11)=0,0,AVERAGE($BP11:$BW11))</f>
        <v>0</v>
      </c>
      <c r="CX11" s="9">
        <f>IF(COUNT($BX11:$CN11)=0,0,AVERAGE($BX11:$CN11))</f>
        <v>0</v>
      </c>
      <c r="CY11" s="9">
        <f t="shared" si="1"/>
        <v>0</v>
      </c>
      <c r="CZ11" s="9">
        <f t="shared" si="2"/>
        <v>0</v>
      </c>
      <c r="DA11" s="9">
        <f t="shared" si="3"/>
        <v>0</v>
      </c>
    </row>
    <row r="12" spans="1:105" x14ac:dyDescent="0.3">
      <c r="A12" s="43">
        <v>9</v>
      </c>
      <c r="B12" s="16" t="s">
        <v>52</v>
      </c>
      <c r="C12" s="37"/>
      <c r="D12" s="3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37"/>
      <c r="AC12" s="43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44"/>
      <c r="BK12" s="43"/>
      <c r="BL12" s="15"/>
      <c r="BM12" s="15"/>
      <c r="BN12" s="15"/>
      <c r="BO12" s="44"/>
      <c r="BP12" s="43"/>
      <c r="BQ12" s="15"/>
      <c r="BR12" s="15"/>
      <c r="BS12" s="15"/>
      <c r="BT12" s="15"/>
      <c r="BU12" s="15"/>
      <c r="BV12" s="15"/>
      <c r="BW12" s="44"/>
      <c r="BX12" s="36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37"/>
      <c r="CO12" s="36"/>
      <c r="CP12" s="17"/>
      <c r="CQ12" s="37"/>
      <c r="CR12" s="36"/>
      <c r="CS12" s="17"/>
      <c r="CT12" s="37"/>
      <c r="CU12" s="9">
        <f t="shared" si="0"/>
        <v>0</v>
      </c>
      <c r="CV12" s="9">
        <f>IF(COUNT($BK12:$BO12)=0,0,AVERAGE($BK12:$BO12))</f>
        <v>0</v>
      </c>
      <c r="CW12" s="9">
        <f>IF(COUNT($BP12:$BW12)=0,0,AVERAGE($BP12:$BW12))</f>
        <v>0</v>
      </c>
      <c r="CX12" s="9">
        <f>IF(COUNT($BX12:$CN12)=0,0,AVERAGE($BX12:$CN12))</f>
        <v>0</v>
      </c>
      <c r="CY12" s="9">
        <f t="shared" si="1"/>
        <v>0</v>
      </c>
      <c r="CZ12" s="9">
        <f t="shared" si="2"/>
        <v>0</v>
      </c>
      <c r="DA12" s="9">
        <f t="shared" si="3"/>
        <v>0</v>
      </c>
    </row>
    <row r="13" spans="1:105" x14ac:dyDescent="0.3">
      <c r="A13" s="43">
        <v>10</v>
      </c>
      <c r="B13" s="16" t="s">
        <v>53</v>
      </c>
      <c r="C13" s="37"/>
      <c r="D13" s="3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37"/>
      <c r="AC13" s="43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44"/>
      <c r="BK13" s="43"/>
      <c r="BL13" s="15"/>
      <c r="BM13" s="15"/>
      <c r="BN13" s="15"/>
      <c r="BO13" s="44"/>
      <c r="BP13" s="43"/>
      <c r="BQ13" s="15"/>
      <c r="BR13" s="15"/>
      <c r="BS13" s="15"/>
      <c r="BT13" s="15"/>
      <c r="BU13" s="15"/>
      <c r="BV13" s="15"/>
      <c r="BW13" s="44"/>
      <c r="BX13" s="36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37"/>
      <c r="CO13" s="36"/>
      <c r="CP13" s="17"/>
      <c r="CQ13" s="37"/>
      <c r="CR13" s="36"/>
      <c r="CS13" s="17"/>
      <c r="CT13" s="37"/>
      <c r="CU13" s="9">
        <f t="shared" si="0"/>
        <v>0</v>
      </c>
      <c r="CV13" s="9">
        <f>IF(COUNT($BK13:$BO13)=0,0,AVERAGE($BK13:$BO13))</f>
        <v>0</v>
      </c>
      <c r="CW13" s="9">
        <f>IF(COUNT($BP13:$BW13)=0,0,AVERAGE($BP13:$BW13))</f>
        <v>0</v>
      </c>
      <c r="CX13" s="9">
        <f>IF(COUNT($BX13:$CN13)=0,0,AVERAGE($BX13:$CN13))</f>
        <v>0</v>
      </c>
      <c r="CY13" s="9">
        <f t="shared" si="1"/>
        <v>0</v>
      </c>
      <c r="CZ13" s="9">
        <f t="shared" si="2"/>
        <v>0</v>
      </c>
      <c r="DA13" s="9">
        <f t="shared" si="3"/>
        <v>0</v>
      </c>
    </row>
    <row r="14" spans="1:105" x14ac:dyDescent="0.3">
      <c r="A14" s="43">
        <v>11</v>
      </c>
      <c r="B14" s="16" t="s">
        <v>54</v>
      </c>
      <c r="C14" s="37"/>
      <c r="D14" s="3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37"/>
      <c r="AC14" s="43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44"/>
      <c r="BK14" s="43"/>
      <c r="BL14" s="15"/>
      <c r="BM14" s="15"/>
      <c r="BN14" s="15"/>
      <c r="BO14" s="44"/>
      <c r="BP14" s="43"/>
      <c r="BQ14" s="15"/>
      <c r="BR14" s="15"/>
      <c r="BS14" s="15"/>
      <c r="BT14" s="15"/>
      <c r="BU14" s="15"/>
      <c r="BV14" s="15"/>
      <c r="BW14" s="44"/>
      <c r="BX14" s="36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37"/>
      <c r="CO14" s="36"/>
      <c r="CP14" s="17"/>
      <c r="CQ14" s="37"/>
      <c r="CR14" s="36"/>
      <c r="CS14" s="17"/>
      <c r="CT14" s="37"/>
      <c r="CU14" s="9">
        <f t="shared" si="0"/>
        <v>0</v>
      </c>
      <c r="CV14" s="9">
        <f>IF(COUNT($BK14:$BO14)=0,0,AVERAGE($BK14:$BO14))</f>
        <v>0</v>
      </c>
      <c r="CW14" s="9">
        <f>IF(COUNT($BP14:$BW14)=0,0,AVERAGE($BP14:$BW14))</f>
        <v>0</v>
      </c>
      <c r="CX14" s="9">
        <f>IF(COUNT($BX14:$CN14)=0,0,AVERAGE($BX14:$CN14))</f>
        <v>0</v>
      </c>
      <c r="CY14" s="9">
        <f t="shared" si="1"/>
        <v>0</v>
      </c>
      <c r="CZ14" s="9">
        <f t="shared" si="2"/>
        <v>0</v>
      </c>
      <c r="DA14" s="9">
        <f t="shared" si="3"/>
        <v>0</v>
      </c>
    </row>
    <row r="15" spans="1:105" x14ac:dyDescent="0.3">
      <c r="A15" s="43">
        <v>12</v>
      </c>
      <c r="B15" s="16" t="s">
        <v>55</v>
      </c>
      <c r="C15" s="37"/>
      <c r="D15" s="3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37"/>
      <c r="AC15" s="43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44"/>
      <c r="BK15" s="43"/>
      <c r="BL15" s="15"/>
      <c r="BM15" s="15"/>
      <c r="BN15" s="15"/>
      <c r="BO15" s="44"/>
      <c r="BP15" s="43"/>
      <c r="BQ15" s="15"/>
      <c r="BR15" s="15"/>
      <c r="BS15" s="15"/>
      <c r="BT15" s="15"/>
      <c r="BU15" s="15"/>
      <c r="BV15" s="15"/>
      <c r="BW15" s="44"/>
      <c r="BX15" s="36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37"/>
      <c r="CO15" s="36"/>
      <c r="CP15" s="17"/>
      <c r="CQ15" s="37"/>
      <c r="CR15" s="36"/>
      <c r="CS15" s="17"/>
      <c r="CT15" s="37"/>
      <c r="CU15" s="9">
        <f t="shared" si="0"/>
        <v>0</v>
      </c>
      <c r="CV15" s="9">
        <f>IF(COUNT($BK15:$BO15)=0,0,AVERAGE($BK15:$BO15))</f>
        <v>0</v>
      </c>
      <c r="CW15" s="9">
        <f>IF(COUNT($BP15:$BW15)=0,0,AVERAGE($BP15:$BW15))</f>
        <v>0</v>
      </c>
      <c r="CX15" s="9">
        <f>IF(COUNT($BX15:$CN15)=0,0,AVERAGE($BX15:$CN15))</f>
        <v>0</v>
      </c>
      <c r="CY15" s="9">
        <f t="shared" si="1"/>
        <v>0</v>
      </c>
      <c r="CZ15" s="9">
        <f t="shared" si="2"/>
        <v>0</v>
      </c>
      <c r="DA15" s="9">
        <f t="shared" si="3"/>
        <v>0</v>
      </c>
    </row>
    <row r="16" spans="1:105" x14ac:dyDescent="0.3">
      <c r="A16" s="43">
        <v>13</v>
      </c>
      <c r="B16" s="16" t="s">
        <v>56</v>
      </c>
      <c r="C16" s="37"/>
      <c r="D16" s="3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37"/>
      <c r="AC16" s="43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44"/>
      <c r="BK16" s="43"/>
      <c r="BL16" s="15"/>
      <c r="BM16" s="15"/>
      <c r="BN16" s="15"/>
      <c r="BO16" s="44"/>
      <c r="BP16" s="43"/>
      <c r="BQ16" s="15"/>
      <c r="BR16" s="15"/>
      <c r="BS16" s="15"/>
      <c r="BT16" s="15"/>
      <c r="BU16" s="15"/>
      <c r="BV16" s="15"/>
      <c r="BW16" s="44"/>
      <c r="BX16" s="36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37"/>
      <c r="CO16" s="36"/>
      <c r="CP16" s="17"/>
      <c r="CQ16" s="37"/>
      <c r="CR16" s="36"/>
      <c r="CS16" s="17"/>
      <c r="CT16" s="37"/>
      <c r="CU16" s="9">
        <f t="shared" si="0"/>
        <v>0</v>
      </c>
      <c r="CV16" s="9">
        <f>IF(COUNT($BK16:$BO16)=0,0,AVERAGE($BK16:$BO16))</f>
        <v>0</v>
      </c>
      <c r="CW16" s="9">
        <f>IF(COUNT($BP16:$BW16)=0,0,AVERAGE($BP16:$BW16))</f>
        <v>0</v>
      </c>
      <c r="CX16" s="9">
        <f>IF(COUNT($BX16:$CN16)=0,0,AVERAGE($BX16:$CN16))</f>
        <v>0</v>
      </c>
      <c r="CY16" s="9">
        <f t="shared" si="1"/>
        <v>0</v>
      </c>
      <c r="CZ16" s="9">
        <f t="shared" si="2"/>
        <v>0</v>
      </c>
      <c r="DA16" s="9">
        <f t="shared" si="3"/>
        <v>0</v>
      </c>
    </row>
    <row r="17" spans="1:105" x14ac:dyDescent="0.3">
      <c r="A17" s="43">
        <v>14</v>
      </c>
      <c r="B17" s="18" t="s">
        <v>57</v>
      </c>
      <c r="C17" s="37"/>
      <c r="D17" s="3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37"/>
      <c r="AC17" s="43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44"/>
      <c r="BK17" s="43"/>
      <c r="BL17" s="15"/>
      <c r="BM17" s="15"/>
      <c r="BN17" s="15"/>
      <c r="BO17" s="44"/>
      <c r="BP17" s="43"/>
      <c r="BQ17" s="15"/>
      <c r="BR17" s="15"/>
      <c r="BS17" s="15"/>
      <c r="BT17" s="15"/>
      <c r="BU17" s="15"/>
      <c r="BV17" s="15"/>
      <c r="BW17" s="44"/>
      <c r="BX17" s="36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37"/>
      <c r="CO17" s="36"/>
      <c r="CP17" s="17"/>
      <c r="CQ17" s="37"/>
      <c r="CR17" s="36"/>
      <c r="CS17" s="17"/>
      <c r="CT17" s="37"/>
      <c r="CU17" s="9">
        <f t="shared" si="0"/>
        <v>0</v>
      </c>
      <c r="CV17" s="9">
        <f>IF(COUNT($BK17:$BO17)=0,0,AVERAGE($BK17:$BO17))</f>
        <v>0</v>
      </c>
      <c r="CW17" s="9">
        <f>IF(COUNT($BP17:$BW17)=0,0,AVERAGE($BP17:$BW17))</f>
        <v>0</v>
      </c>
      <c r="CX17" s="9">
        <f>IF(COUNT($BX17:$CN17)=0,0,AVERAGE($BX17:$CN17))</f>
        <v>0</v>
      </c>
      <c r="CY17" s="9">
        <f t="shared" si="1"/>
        <v>0</v>
      </c>
      <c r="CZ17" s="9">
        <f t="shared" si="2"/>
        <v>0</v>
      </c>
      <c r="DA17" s="9">
        <f t="shared" si="3"/>
        <v>0</v>
      </c>
    </row>
    <row r="18" spans="1:105" x14ac:dyDescent="0.3">
      <c r="A18" s="43">
        <v>15</v>
      </c>
      <c r="B18" s="16" t="s">
        <v>58</v>
      </c>
      <c r="C18" s="37"/>
      <c r="D18" s="3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37"/>
      <c r="AC18" s="43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44"/>
      <c r="BK18" s="43"/>
      <c r="BL18" s="15"/>
      <c r="BM18" s="15"/>
      <c r="BN18" s="15"/>
      <c r="BO18" s="44"/>
      <c r="BP18" s="43"/>
      <c r="BQ18" s="15"/>
      <c r="BR18" s="15"/>
      <c r="BS18" s="15"/>
      <c r="BT18" s="15"/>
      <c r="BU18" s="15"/>
      <c r="BV18" s="15"/>
      <c r="BW18" s="44"/>
      <c r="BX18" s="36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37"/>
      <c r="CO18" s="36"/>
      <c r="CP18" s="17"/>
      <c r="CQ18" s="37"/>
      <c r="CR18" s="36"/>
      <c r="CS18" s="17"/>
      <c r="CT18" s="37"/>
      <c r="CU18" s="9">
        <f t="shared" si="0"/>
        <v>0</v>
      </c>
      <c r="CV18" s="9">
        <f>IF(COUNT($BK18:$BO18)=0,0,AVERAGE($BK18:$BO18))</f>
        <v>0</v>
      </c>
      <c r="CW18" s="9">
        <f>IF(COUNT($BP18:$BW18)=0,0,AVERAGE($BP18:$BW18))</f>
        <v>0</v>
      </c>
      <c r="CX18" s="9">
        <f>IF(COUNT($BX18:$CN18)=0,0,AVERAGE($BX18:$CN18))</f>
        <v>0</v>
      </c>
      <c r="CY18" s="9">
        <f t="shared" si="1"/>
        <v>0</v>
      </c>
      <c r="CZ18" s="9">
        <f t="shared" si="2"/>
        <v>0</v>
      </c>
      <c r="DA18" s="9">
        <f t="shared" si="3"/>
        <v>0</v>
      </c>
    </row>
    <row r="19" spans="1:105" ht="15" thickBot="1" x14ac:dyDescent="0.35">
      <c r="A19" s="32">
        <v>16</v>
      </c>
      <c r="B19" s="49" t="s">
        <v>59</v>
      </c>
      <c r="C19" s="40"/>
      <c r="D19" s="38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40"/>
      <c r="AC19" s="32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33"/>
      <c r="BK19" s="32"/>
      <c r="BL19" s="28"/>
      <c r="BM19" s="28"/>
      <c r="BN19" s="28"/>
      <c r="BO19" s="33"/>
      <c r="BP19" s="32"/>
      <c r="BQ19" s="28"/>
      <c r="BR19" s="28"/>
      <c r="BS19" s="28"/>
      <c r="BT19" s="28"/>
      <c r="BU19" s="28"/>
      <c r="BV19" s="28"/>
      <c r="BW19" s="33"/>
      <c r="BX19" s="38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40"/>
      <c r="CO19" s="38"/>
      <c r="CP19" s="39"/>
      <c r="CQ19" s="40"/>
      <c r="CR19" s="38"/>
      <c r="CS19" s="39"/>
      <c r="CT19" s="40"/>
      <c r="CU19" s="10">
        <f t="shared" si="0"/>
        <v>0</v>
      </c>
      <c r="CV19" s="10">
        <f>IF(COUNT($BK19:$BO19)=0,0,AVERAGE($BK19:$BO19))</f>
        <v>0</v>
      </c>
      <c r="CW19" s="10">
        <f>IF(COUNT($BP19:$BW19)=0,0,AVERAGE($BP19:$BW19))</f>
        <v>0</v>
      </c>
      <c r="CX19" s="10">
        <f>IF(COUNT($BX19:$CN19)=0,0,AVERAGE($BX19:$CN19))</f>
        <v>0</v>
      </c>
      <c r="CY19" s="10">
        <f t="shared" si="1"/>
        <v>0</v>
      </c>
      <c r="CZ19" s="10">
        <f t="shared" si="2"/>
        <v>0</v>
      </c>
      <c r="DA19" s="10">
        <f t="shared" si="3"/>
        <v>0</v>
      </c>
    </row>
  </sheetData>
  <mergeCells count="17">
    <mergeCell ref="CW1:CW3"/>
    <mergeCell ref="CX1:CX3"/>
    <mergeCell ref="CY1:CY3"/>
    <mergeCell ref="CZ1:CZ3"/>
    <mergeCell ref="DA1:DA3"/>
    <mergeCell ref="D1:AB2"/>
    <mergeCell ref="AC1:BJ2"/>
    <mergeCell ref="BP1:BW2"/>
    <mergeCell ref="BX1:CN2"/>
    <mergeCell ref="CO1:CQ2"/>
    <mergeCell ref="CR1:CT2"/>
    <mergeCell ref="CU1:CU3"/>
    <mergeCell ref="CV1:CV3"/>
    <mergeCell ref="A1:A3"/>
    <mergeCell ref="B1:B3"/>
    <mergeCell ref="C1:C3"/>
    <mergeCell ref="BK1:B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B30F-1ABF-475A-B044-CE922A49BFFC}">
  <dimension ref="A1:DA19"/>
  <sheetViews>
    <sheetView workbookViewId="0">
      <selection activeCell="DA18" sqref="A1:DA18"/>
    </sheetView>
  </sheetViews>
  <sheetFormatPr defaultRowHeight="14.4" x14ac:dyDescent="0.3"/>
  <cols>
    <col min="1" max="1" width="3" style="4" bestFit="1" customWidth="1"/>
    <col min="2" max="2" width="30.21875" style="5" bestFit="1" customWidth="1"/>
    <col min="3" max="3" width="3.5546875" style="4" bestFit="1" customWidth="1"/>
    <col min="4" max="98" width="3" style="6" customWidth="1"/>
    <col min="99" max="105" width="7.44140625" style="6" customWidth="1"/>
  </cols>
  <sheetData>
    <row r="1" spans="1:105" s="3" customFormat="1" x14ac:dyDescent="0.3">
      <c r="A1" s="23" t="s">
        <v>0</v>
      </c>
      <c r="B1" s="24" t="s">
        <v>1</v>
      </c>
      <c r="C1" s="30" t="s">
        <v>2</v>
      </c>
      <c r="D1" s="11" t="s">
        <v>41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3"/>
      <c r="AC1" s="11" t="s">
        <v>40</v>
      </c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3"/>
      <c r="BK1" s="23" t="s">
        <v>35</v>
      </c>
      <c r="BL1" s="24"/>
      <c r="BM1" s="24"/>
      <c r="BN1" s="24"/>
      <c r="BO1" s="30"/>
      <c r="BP1" s="23" t="s">
        <v>37</v>
      </c>
      <c r="BQ1" s="24"/>
      <c r="BR1" s="24"/>
      <c r="BS1" s="24"/>
      <c r="BT1" s="24"/>
      <c r="BU1" s="24"/>
      <c r="BV1" s="24"/>
      <c r="BW1" s="30"/>
      <c r="BX1" s="23" t="s">
        <v>36</v>
      </c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30"/>
      <c r="CO1" s="23" t="s">
        <v>38</v>
      </c>
      <c r="CP1" s="24"/>
      <c r="CQ1" s="30"/>
      <c r="CR1" s="23" t="s">
        <v>39</v>
      </c>
      <c r="CS1" s="24"/>
      <c r="CT1" s="30"/>
      <c r="CU1" s="7" t="s">
        <v>42</v>
      </c>
      <c r="CV1" s="7" t="s">
        <v>35</v>
      </c>
      <c r="CW1" s="7" t="s">
        <v>37</v>
      </c>
      <c r="CX1" s="7" t="s">
        <v>36</v>
      </c>
      <c r="CY1" s="7" t="s">
        <v>38</v>
      </c>
      <c r="CZ1" s="7" t="s">
        <v>39</v>
      </c>
      <c r="DA1" s="7" t="s">
        <v>43</v>
      </c>
    </row>
    <row r="2" spans="1:105" x14ac:dyDescent="0.3">
      <c r="A2" s="25"/>
      <c r="B2" s="14"/>
      <c r="C2" s="31"/>
      <c r="D2" s="47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6"/>
      <c r="AC2" s="47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6"/>
      <c r="BK2" s="25"/>
      <c r="BL2" s="14"/>
      <c r="BM2" s="14"/>
      <c r="BN2" s="14"/>
      <c r="BO2" s="31"/>
      <c r="BP2" s="25"/>
      <c r="BQ2" s="14"/>
      <c r="BR2" s="14"/>
      <c r="BS2" s="14"/>
      <c r="BT2" s="14"/>
      <c r="BU2" s="14"/>
      <c r="BV2" s="14"/>
      <c r="BW2" s="31"/>
      <c r="BX2" s="25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31"/>
      <c r="CO2" s="25"/>
      <c r="CP2" s="14"/>
      <c r="CQ2" s="31"/>
      <c r="CR2" s="25"/>
      <c r="CS2" s="14"/>
      <c r="CT2" s="31"/>
      <c r="CU2" s="8"/>
      <c r="CV2" s="8"/>
      <c r="CW2" s="8"/>
      <c r="CX2" s="8"/>
      <c r="CY2" s="8"/>
      <c r="CZ2" s="8"/>
      <c r="DA2" s="8"/>
    </row>
    <row r="3" spans="1:105" ht="15" thickBot="1" x14ac:dyDescent="0.35">
      <c r="A3" s="26"/>
      <c r="B3" s="27"/>
      <c r="C3" s="48"/>
      <c r="D3" s="32">
        <v>1</v>
      </c>
      <c r="E3" s="28">
        <v>2</v>
      </c>
      <c r="F3" s="28">
        <v>3</v>
      </c>
      <c r="G3" s="28">
        <v>4</v>
      </c>
      <c r="H3" s="28">
        <v>5</v>
      </c>
      <c r="I3" s="28">
        <v>6</v>
      </c>
      <c r="J3" s="28">
        <v>7</v>
      </c>
      <c r="K3" s="28">
        <v>8</v>
      </c>
      <c r="L3" s="28">
        <v>9</v>
      </c>
      <c r="M3" s="28">
        <v>10</v>
      </c>
      <c r="N3" s="28">
        <v>11</v>
      </c>
      <c r="O3" s="28">
        <v>12</v>
      </c>
      <c r="P3" s="28">
        <v>13</v>
      </c>
      <c r="Q3" s="28">
        <v>14</v>
      </c>
      <c r="R3" s="28">
        <v>15</v>
      </c>
      <c r="S3" s="28">
        <v>16</v>
      </c>
      <c r="T3" s="28">
        <v>17</v>
      </c>
      <c r="U3" s="28">
        <v>18</v>
      </c>
      <c r="V3" s="28">
        <v>19</v>
      </c>
      <c r="W3" s="28">
        <v>20</v>
      </c>
      <c r="X3" s="28">
        <v>21</v>
      </c>
      <c r="Y3" s="28">
        <v>22</v>
      </c>
      <c r="Z3" s="28">
        <v>23</v>
      </c>
      <c r="AA3" s="28">
        <v>24</v>
      </c>
      <c r="AB3" s="33">
        <v>25</v>
      </c>
      <c r="AC3" s="32">
        <v>1</v>
      </c>
      <c r="AD3" s="28">
        <v>2</v>
      </c>
      <c r="AE3" s="28">
        <v>3</v>
      </c>
      <c r="AF3" s="28">
        <v>4</v>
      </c>
      <c r="AG3" s="28">
        <v>5</v>
      </c>
      <c r="AH3" s="28">
        <v>6</v>
      </c>
      <c r="AI3" s="28">
        <v>7</v>
      </c>
      <c r="AJ3" s="28">
        <v>8</v>
      </c>
      <c r="AK3" s="28">
        <v>9</v>
      </c>
      <c r="AL3" s="28">
        <v>10</v>
      </c>
      <c r="AM3" s="28">
        <v>11</v>
      </c>
      <c r="AN3" s="28">
        <v>12</v>
      </c>
      <c r="AO3" s="28">
        <v>13</v>
      </c>
      <c r="AP3" s="28">
        <v>14</v>
      </c>
      <c r="AQ3" s="28">
        <v>15</v>
      </c>
      <c r="AR3" s="28">
        <v>16</v>
      </c>
      <c r="AS3" s="28">
        <v>17</v>
      </c>
      <c r="AT3" s="28">
        <v>18</v>
      </c>
      <c r="AU3" s="28">
        <v>19</v>
      </c>
      <c r="AV3" s="28">
        <v>20</v>
      </c>
      <c r="AW3" s="28">
        <v>21</v>
      </c>
      <c r="AX3" s="28">
        <v>22</v>
      </c>
      <c r="AY3" s="28">
        <v>23</v>
      </c>
      <c r="AZ3" s="28">
        <v>24</v>
      </c>
      <c r="BA3" s="28">
        <v>25</v>
      </c>
      <c r="BB3" s="28">
        <v>26</v>
      </c>
      <c r="BC3" s="28">
        <v>27</v>
      </c>
      <c r="BD3" s="28">
        <v>28</v>
      </c>
      <c r="BE3" s="28">
        <v>29</v>
      </c>
      <c r="BF3" s="28">
        <v>30</v>
      </c>
      <c r="BG3" s="28">
        <v>31</v>
      </c>
      <c r="BH3" s="28">
        <v>32</v>
      </c>
      <c r="BI3" s="28">
        <v>33</v>
      </c>
      <c r="BJ3" s="33">
        <v>34</v>
      </c>
      <c r="BK3" s="32">
        <v>1</v>
      </c>
      <c r="BL3" s="28">
        <v>2</v>
      </c>
      <c r="BM3" s="28">
        <v>3</v>
      </c>
      <c r="BN3" s="28">
        <v>4</v>
      </c>
      <c r="BO3" s="33">
        <v>5</v>
      </c>
      <c r="BP3" s="32">
        <v>1</v>
      </c>
      <c r="BQ3" s="28">
        <v>2</v>
      </c>
      <c r="BR3" s="28">
        <v>3</v>
      </c>
      <c r="BS3" s="28">
        <v>4</v>
      </c>
      <c r="BT3" s="28">
        <v>5</v>
      </c>
      <c r="BU3" s="28">
        <v>6</v>
      </c>
      <c r="BV3" s="28">
        <v>7</v>
      </c>
      <c r="BW3" s="33">
        <v>8</v>
      </c>
      <c r="BX3" s="32">
        <v>1</v>
      </c>
      <c r="BY3" s="28">
        <v>2</v>
      </c>
      <c r="BZ3" s="28">
        <v>3</v>
      </c>
      <c r="CA3" s="28">
        <v>4</v>
      </c>
      <c r="CB3" s="28">
        <v>5</v>
      </c>
      <c r="CC3" s="28">
        <v>6</v>
      </c>
      <c r="CD3" s="28">
        <v>7</v>
      </c>
      <c r="CE3" s="28">
        <v>8</v>
      </c>
      <c r="CF3" s="28">
        <v>9</v>
      </c>
      <c r="CG3" s="28">
        <v>10</v>
      </c>
      <c r="CH3" s="28">
        <v>11</v>
      </c>
      <c r="CI3" s="28">
        <v>12</v>
      </c>
      <c r="CJ3" s="28">
        <v>13</v>
      </c>
      <c r="CK3" s="28">
        <v>14</v>
      </c>
      <c r="CL3" s="28">
        <v>15</v>
      </c>
      <c r="CM3" s="28">
        <v>16</v>
      </c>
      <c r="CN3" s="33">
        <v>17</v>
      </c>
      <c r="CO3" s="32">
        <v>1</v>
      </c>
      <c r="CP3" s="28">
        <v>2</v>
      </c>
      <c r="CQ3" s="33">
        <v>3</v>
      </c>
      <c r="CR3" s="32">
        <v>1</v>
      </c>
      <c r="CS3" s="28">
        <v>2</v>
      </c>
      <c r="CT3" s="33">
        <v>3</v>
      </c>
      <c r="CU3" s="29"/>
      <c r="CV3" s="29"/>
      <c r="CW3" s="29"/>
      <c r="CX3" s="29"/>
      <c r="CY3" s="29"/>
      <c r="CZ3" s="29"/>
      <c r="DA3" s="29"/>
    </row>
    <row r="4" spans="1:105" x14ac:dyDescent="0.3">
      <c r="A4" s="41">
        <v>1</v>
      </c>
      <c r="B4" s="20" t="s">
        <v>60</v>
      </c>
      <c r="C4" s="35"/>
      <c r="D4" s="34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35"/>
      <c r="AC4" s="41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42"/>
      <c r="BK4" s="41"/>
      <c r="BL4" s="19"/>
      <c r="BM4" s="19"/>
      <c r="BN4" s="19"/>
      <c r="BO4" s="42"/>
      <c r="BP4" s="41"/>
      <c r="BQ4" s="19"/>
      <c r="BR4" s="19"/>
      <c r="BS4" s="19"/>
      <c r="BT4" s="19"/>
      <c r="BU4" s="19"/>
      <c r="BV4" s="19"/>
      <c r="BW4" s="42"/>
      <c r="BX4" s="34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35"/>
      <c r="CO4" s="34"/>
      <c r="CP4" s="21"/>
      <c r="CQ4" s="35"/>
      <c r="CR4" s="34"/>
      <c r="CS4" s="21"/>
      <c r="CT4" s="35"/>
      <c r="CU4" s="22">
        <f>COUNTIF(D4:BJ4,"н")</f>
        <v>0</v>
      </c>
      <c r="CV4" s="22">
        <f>IF(COUNT($BK4:$BO4)=0,0,AVERAGE($BK4:$BO4))</f>
        <v>0</v>
      </c>
      <c r="CW4" s="22">
        <f>IF(COUNT($BP4:$BW4)=0,0,AVERAGE($BP4:$BW4))</f>
        <v>0</v>
      </c>
      <c r="CX4" s="22">
        <f>IF(COUNT($BX4:$CN4)=0,0,AVERAGE($BX4:$CN4))</f>
        <v>0</v>
      </c>
      <c r="CY4" s="22">
        <f>IF(COUNT($CO4:$CQ4)=0,0,AVERAGE($CO4:$CQ4))</f>
        <v>0</v>
      </c>
      <c r="CZ4" s="22">
        <f>IF(COUNT($CR4:$CT4)=0,0,AVERAGE(($CR4:$CT4)))</f>
        <v>0</v>
      </c>
      <c r="DA4" s="22">
        <f>ROUND(IF(COUNTIF($CV4:$CZ4,"&gt;0")=5,AVERAGE($CV4:$CZ4),SUM($CV4:$CZ4)/6)-MIN(1,$CU4*0.05),2)</f>
        <v>0</v>
      </c>
    </row>
    <row r="5" spans="1:105" x14ac:dyDescent="0.3">
      <c r="A5" s="43">
        <v>2</v>
      </c>
      <c r="B5" s="16" t="s">
        <v>61</v>
      </c>
      <c r="C5" s="37"/>
      <c r="D5" s="3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37"/>
      <c r="AC5" s="43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44"/>
      <c r="BK5" s="43"/>
      <c r="BL5" s="15"/>
      <c r="BM5" s="15"/>
      <c r="BN5" s="15"/>
      <c r="BO5" s="44"/>
      <c r="BP5" s="43"/>
      <c r="BQ5" s="15"/>
      <c r="BR5" s="15"/>
      <c r="BS5" s="15"/>
      <c r="BT5" s="15"/>
      <c r="BU5" s="15"/>
      <c r="BV5" s="15"/>
      <c r="BW5" s="44"/>
      <c r="BX5" s="36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37"/>
      <c r="CO5" s="36"/>
      <c r="CP5" s="17"/>
      <c r="CQ5" s="37"/>
      <c r="CR5" s="36"/>
      <c r="CS5" s="17"/>
      <c r="CT5" s="37"/>
      <c r="CU5" s="9">
        <f t="shared" ref="CU5:CU19" si="0">COUNTIF(D5:BJ5,"н")</f>
        <v>0</v>
      </c>
      <c r="CV5" s="9">
        <f>IF(COUNT($BK5:$BO5)=0,0,AVERAGE($BK5:$BO5))</f>
        <v>0</v>
      </c>
      <c r="CW5" s="9">
        <f>IF(COUNT($BP5:$BW5)=0,0,AVERAGE($BP5:$BW5))</f>
        <v>0</v>
      </c>
      <c r="CX5" s="9">
        <f>IF(COUNT($BX5:$CN5)=0,0,AVERAGE($BX5:$CN5))</f>
        <v>0</v>
      </c>
      <c r="CY5" s="9">
        <f t="shared" ref="CY5:CY19" si="1">IF(COUNT($CO5:$CQ5)=0,0,AVERAGE($CO5:$CQ5))</f>
        <v>0</v>
      </c>
      <c r="CZ5" s="9">
        <f t="shared" ref="CZ5:CZ19" si="2">IF(COUNT($CR5:$CT5)=0,0,AVERAGE(($CR5:$CT5)))</f>
        <v>0</v>
      </c>
      <c r="DA5" s="9">
        <f t="shared" ref="DA5:DA19" si="3">ROUND(IF(COUNTIF($CV5:$CZ5,"&gt;0")=5,AVERAGE($CV5:$CZ5),SUM($CV5:$CZ5)/6)-MIN(1,$CU5*0.05),2)</f>
        <v>0</v>
      </c>
    </row>
    <row r="6" spans="1:105" x14ac:dyDescent="0.3">
      <c r="A6" s="43">
        <v>3</v>
      </c>
      <c r="B6" s="16" t="s">
        <v>62</v>
      </c>
      <c r="C6" s="37"/>
      <c r="D6" s="36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37"/>
      <c r="AC6" s="43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44"/>
      <c r="BK6" s="43"/>
      <c r="BL6" s="15"/>
      <c r="BM6" s="15"/>
      <c r="BN6" s="15"/>
      <c r="BO6" s="44"/>
      <c r="BP6" s="43"/>
      <c r="BQ6" s="15"/>
      <c r="BR6" s="15"/>
      <c r="BS6" s="15"/>
      <c r="BT6" s="15"/>
      <c r="BU6" s="15"/>
      <c r="BV6" s="15"/>
      <c r="BW6" s="44"/>
      <c r="BX6" s="36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37"/>
      <c r="CO6" s="36"/>
      <c r="CP6" s="17"/>
      <c r="CQ6" s="37"/>
      <c r="CR6" s="36"/>
      <c r="CS6" s="17"/>
      <c r="CT6" s="37"/>
      <c r="CU6" s="9">
        <f t="shared" si="0"/>
        <v>0</v>
      </c>
      <c r="CV6" s="9">
        <f>IF(COUNT($BK6:$BO6)=0,0,AVERAGE($BK6:$BO6))</f>
        <v>0</v>
      </c>
      <c r="CW6" s="9">
        <f>IF(COUNT($BP6:$BW6)=0,0,AVERAGE($BP6:$BW6))</f>
        <v>0</v>
      </c>
      <c r="CX6" s="9">
        <f>IF(COUNT($BX6:$CN6)=0,0,AVERAGE($BX6:$CN6))</f>
        <v>0</v>
      </c>
      <c r="CY6" s="9">
        <f t="shared" si="1"/>
        <v>0</v>
      </c>
      <c r="CZ6" s="9">
        <f t="shared" si="2"/>
        <v>0</v>
      </c>
      <c r="DA6" s="9">
        <f t="shared" si="3"/>
        <v>0</v>
      </c>
    </row>
    <row r="7" spans="1:105" x14ac:dyDescent="0.3">
      <c r="A7" s="43">
        <v>4</v>
      </c>
      <c r="B7" s="16" t="s">
        <v>63</v>
      </c>
      <c r="C7" s="37"/>
      <c r="D7" s="36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37"/>
      <c r="AC7" s="43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44"/>
      <c r="BK7" s="43"/>
      <c r="BL7" s="15"/>
      <c r="BM7" s="15"/>
      <c r="BN7" s="15"/>
      <c r="BO7" s="44"/>
      <c r="BP7" s="43"/>
      <c r="BQ7" s="15"/>
      <c r="BR7" s="15"/>
      <c r="BS7" s="15"/>
      <c r="BT7" s="15"/>
      <c r="BU7" s="15"/>
      <c r="BV7" s="15"/>
      <c r="BW7" s="44"/>
      <c r="BX7" s="36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37"/>
      <c r="CO7" s="36"/>
      <c r="CP7" s="17"/>
      <c r="CQ7" s="37"/>
      <c r="CR7" s="36"/>
      <c r="CS7" s="17"/>
      <c r="CT7" s="37"/>
      <c r="CU7" s="9">
        <f t="shared" si="0"/>
        <v>0</v>
      </c>
      <c r="CV7" s="9">
        <f>IF(COUNT($BK7:$BO7)=0,0,AVERAGE($BK7:$BO7))</f>
        <v>0</v>
      </c>
      <c r="CW7" s="9">
        <f>IF(COUNT($BP7:$BW7)=0,0,AVERAGE($BP7:$BW7))</f>
        <v>0</v>
      </c>
      <c r="CX7" s="9">
        <f>IF(COUNT($BX7:$CN7)=0,0,AVERAGE($BX7:$CN7))</f>
        <v>0</v>
      </c>
      <c r="CY7" s="9">
        <f t="shared" si="1"/>
        <v>0</v>
      </c>
      <c r="CZ7" s="9">
        <f t="shared" si="2"/>
        <v>0</v>
      </c>
      <c r="DA7" s="9">
        <f t="shared" si="3"/>
        <v>0</v>
      </c>
    </row>
    <row r="8" spans="1:105" x14ac:dyDescent="0.3">
      <c r="A8" s="43">
        <v>5</v>
      </c>
      <c r="B8" s="16" t="s">
        <v>64</v>
      </c>
      <c r="C8" s="37"/>
      <c r="D8" s="3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37"/>
      <c r="AC8" s="43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44"/>
      <c r="BK8" s="43"/>
      <c r="BL8" s="15"/>
      <c r="BM8" s="15"/>
      <c r="BN8" s="15"/>
      <c r="BO8" s="44"/>
      <c r="BP8" s="43"/>
      <c r="BQ8" s="15"/>
      <c r="BR8" s="15"/>
      <c r="BS8" s="15"/>
      <c r="BT8" s="15"/>
      <c r="BU8" s="15"/>
      <c r="BV8" s="15"/>
      <c r="BW8" s="44"/>
      <c r="BX8" s="36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37"/>
      <c r="CO8" s="36"/>
      <c r="CP8" s="17"/>
      <c r="CQ8" s="37"/>
      <c r="CR8" s="36"/>
      <c r="CS8" s="17"/>
      <c r="CT8" s="37"/>
      <c r="CU8" s="9">
        <f t="shared" si="0"/>
        <v>0</v>
      </c>
      <c r="CV8" s="9">
        <f>IF(COUNT($BK8:$BO8)=0,0,AVERAGE($BK8:$BO8))</f>
        <v>0</v>
      </c>
      <c r="CW8" s="9">
        <f>IF(COUNT($BP8:$BW8)=0,0,AVERAGE($BP8:$BW8))</f>
        <v>0</v>
      </c>
      <c r="CX8" s="9">
        <f>IF(COUNT($BX8:$CN8)=0,0,AVERAGE($BX8:$CN8))</f>
        <v>0</v>
      </c>
      <c r="CY8" s="9">
        <f t="shared" si="1"/>
        <v>0</v>
      </c>
      <c r="CZ8" s="9">
        <f t="shared" si="2"/>
        <v>0</v>
      </c>
      <c r="DA8" s="9">
        <f t="shared" si="3"/>
        <v>0</v>
      </c>
    </row>
    <row r="9" spans="1:105" x14ac:dyDescent="0.3">
      <c r="A9" s="43">
        <v>6</v>
      </c>
      <c r="B9" s="16" t="s">
        <v>65</v>
      </c>
      <c r="C9" s="37"/>
      <c r="D9" s="3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37"/>
      <c r="AC9" s="43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44"/>
      <c r="BK9" s="43"/>
      <c r="BL9" s="15"/>
      <c r="BM9" s="15"/>
      <c r="BN9" s="15"/>
      <c r="BO9" s="44"/>
      <c r="BP9" s="43"/>
      <c r="BQ9" s="15"/>
      <c r="BR9" s="15"/>
      <c r="BS9" s="15"/>
      <c r="BT9" s="15"/>
      <c r="BU9" s="15"/>
      <c r="BV9" s="15"/>
      <c r="BW9" s="44"/>
      <c r="BX9" s="36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37"/>
      <c r="CO9" s="36"/>
      <c r="CP9" s="17"/>
      <c r="CQ9" s="37"/>
      <c r="CR9" s="36"/>
      <c r="CS9" s="17"/>
      <c r="CT9" s="37"/>
      <c r="CU9" s="9">
        <f t="shared" si="0"/>
        <v>0</v>
      </c>
      <c r="CV9" s="9">
        <f>IF(COUNT($BK9:$BO9)=0,0,AVERAGE($BK9:$BO9))</f>
        <v>0</v>
      </c>
      <c r="CW9" s="9">
        <f>IF(COUNT($BP9:$BW9)=0,0,AVERAGE($BP9:$BW9))</f>
        <v>0</v>
      </c>
      <c r="CX9" s="9">
        <f>IF(COUNT($BX9:$CN9)=0,0,AVERAGE($BX9:$CN9))</f>
        <v>0</v>
      </c>
      <c r="CY9" s="9">
        <f t="shared" si="1"/>
        <v>0</v>
      </c>
      <c r="CZ9" s="9">
        <f t="shared" si="2"/>
        <v>0</v>
      </c>
      <c r="DA9" s="9">
        <f t="shared" si="3"/>
        <v>0</v>
      </c>
    </row>
    <row r="10" spans="1:105" x14ac:dyDescent="0.3">
      <c r="A10" s="43">
        <v>7</v>
      </c>
      <c r="B10" s="16" t="s">
        <v>66</v>
      </c>
      <c r="C10" s="37"/>
      <c r="D10" s="36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37"/>
      <c r="AC10" s="43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44"/>
      <c r="BK10" s="43"/>
      <c r="BL10" s="15"/>
      <c r="BM10" s="15"/>
      <c r="BN10" s="15"/>
      <c r="BO10" s="44"/>
      <c r="BP10" s="43"/>
      <c r="BQ10" s="15"/>
      <c r="BR10" s="15"/>
      <c r="BS10" s="15"/>
      <c r="BT10" s="15"/>
      <c r="BU10" s="15"/>
      <c r="BV10" s="15"/>
      <c r="BW10" s="44"/>
      <c r="BX10" s="36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37"/>
      <c r="CO10" s="36"/>
      <c r="CP10" s="17"/>
      <c r="CQ10" s="37"/>
      <c r="CR10" s="36"/>
      <c r="CS10" s="17"/>
      <c r="CT10" s="37"/>
      <c r="CU10" s="9">
        <f t="shared" si="0"/>
        <v>0</v>
      </c>
      <c r="CV10" s="9">
        <f>IF(COUNT($BK10:$BO10)=0,0,AVERAGE($BK10:$BO10))</f>
        <v>0</v>
      </c>
      <c r="CW10" s="9">
        <f>IF(COUNT($BP10:$BW10)=0,0,AVERAGE($BP10:$BW10))</f>
        <v>0</v>
      </c>
      <c r="CX10" s="9">
        <f>IF(COUNT($BX10:$CN10)=0,0,AVERAGE($BX10:$CN10))</f>
        <v>0</v>
      </c>
      <c r="CY10" s="9">
        <f t="shared" si="1"/>
        <v>0</v>
      </c>
      <c r="CZ10" s="9">
        <f t="shared" si="2"/>
        <v>0</v>
      </c>
      <c r="DA10" s="9">
        <f t="shared" si="3"/>
        <v>0</v>
      </c>
    </row>
    <row r="11" spans="1:105" x14ac:dyDescent="0.3">
      <c r="A11" s="43">
        <v>8</v>
      </c>
      <c r="B11" s="16" t="s">
        <v>67</v>
      </c>
      <c r="C11" s="37"/>
      <c r="D11" s="3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37"/>
      <c r="AC11" s="43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44"/>
      <c r="BK11" s="43"/>
      <c r="BL11" s="15"/>
      <c r="BM11" s="15"/>
      <c r="BN11" s="15"/>
      <c r="BO11" s="44"/>
      <c r="BP11" s="43"/>
      <c r="BQ11" s="15"/>
      <c r="BR11" s="15"/>
      <c r="BS11" s="15"/>
      <c r="BT11" s="15"/>
      <c r="BU11" s="15"/>
      <c r="BV11" s="15"/>
      <c r="BW11" s="44"/>
      <c r="BX11" s="36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37"/>
      <c r="CO11" s="36"/>
      <c r="CP11" s="17"/>
      <c r="CQ11" s="37"/>
      <c r="CR11" s="36"/>
      <c r="CS11" s="17"/>
      <c r="CT11" s="37"/>
      <c r="CU11" s="9">
        <f t="shared" si="0"/>
        <v>0</v>
      </c>
      <c r="CV11" s="9">
        <f>IF(COUNT($BK11:$BO11)=0,0,AVERAGE($BK11:$BO11))</f>
        <v>0</v>
      </c>
      <c r="CW11" s="9">
        <f>IF(COUNT($BP11:$BW11)=0,0,AVERAGE($BP11:$BW11))</f>
        <v>0</v>
      </c>
      <c r="CX11" s="9">
        <f>IF(COUNT($BX11:$CN11)=0,0,AVERAGE($BX11:$CN11))</f>
        <v>0</v>
      </c>
      <c r="CY11" s="9">
        <f t="shared" si="1"/>
        <v>0</v>
      </c>
      <c r="CZ11" s="9">
        <f t="shared" si="2"/>
        <v>0</v>
      </c>
      <c r="DA11" s="9">
        <f t="shared" si="3"/>
        <v>0</v>
      </c>
    </row>
    <row r="12" spans="1:105" x14ac:dyDescent="0.3">
      <c r="A12" s="43">
        <v>9</v>
      </c>
      <c r="B12" s="16" t="s">
        <v>68</v>
      </c>
      <c r="C12" s="37"/>
      <c r="D12" s="3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37"/>
      <c r="AC12" s="43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44"/>
      <c r="BK12" s="43"/>
      <c r="BL12" s="15"/>
      <c r="BM12" s="15"/>
      <c r="BN12" s="15"/>
      <c r="BO12" s="44"/>
      <c r="BP12" s="43"/>
      <c r="BQ12" s="15"/>
      <c r="BR12" s="15"/>
      <c r="BS12" s="15"/>
      <c r="BT12" s="15"/>
      <c r="BU12" s="15"/>
      <c r="BV12" s="15"/>
      <c r="BW12" s="44"/>
      <c r="BX12" s="36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37"/>
      <c r="CO12" s="36"/>
      <c r="CP12" s="17"/>
      <c r="CQ12" s="37"/>
      <c r="CR12" s="36"/>
      <c r="CS12" s="17"/>
      <c r="CT12" s="37"/>
      <c r="CU12" s="9">
        <f t="shared" si="0"/>
        <v>0</v>
      </c>
      <c r="CV12" s="9">
        <f>IF(COUNT($BK12:$BO12)=0,0,AVERAGE($BK12:$BO12))</f>
        <v>0</v>
      </c>
      <c r="CW12" s="9">
        <f>IF(COUNT($BP12:$BW12)=0,0,AVERAGE($BP12:$BW12))</f>
        <v>0</v>
      </c>
      <c r="CX12" s="9">
        <f>IF(COUNT($BX12:$CN12)=0,0,AVERAGE($BX12:$CN12))</f>
        <v>0</v>
      </c>
      <c r="CY12" s="9">
        <f t="shared" si="1"/>
        <v>0</v>
      </c>
      <c r="CZ12" s="9">
        <f t="shared" si="2"/>
        <v>0</v>
      </c>
      <c r="DA12" s="9">
        <f t="shared" si="3"/>
        <v>0</v>
      </c>
    </row>
    <row r="13" spans="1:105" x14ac:dyDescent="0.3">
      <c r="A13" s="43">
        <v>10</v>
      </c>
      <c r="B13" s="16" t="s">
        <v>69</v>
      </c>
      <c r="C13" s="37"/>
      <c r="D13" s="3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37"/>
      <c r="AC13" s="43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44"/>
      <c r="BK13" s="43"/>
      <c r="BL13" s="15"/>
      <c r="BM13" s="15"/>
      <c r="BN13" s="15"/>
      <c r="BO13" s="44"/>
      <c r="BP13" s="43"/>
      <c r="BQ13" s="15"/>
      <c r="BR13" s="15"/>
      <c r="BS13" s="15"/>
      <c r="BT13" s="15"/>
      <c r="BU13" s="15"/>
      <c r="BV13" s="15"/>
      <c r="BW13" s="44"/>
      <c r="BX13" s="36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37"/>
      <c r="CO13" s="36"/>
      <c r="CP13" s="17"/>
      <c r="CQ13" s="37"/>
      <c r="CR13" s="36"/>
      <c r="CS13" s="17"/>
      <c r="CT13" s="37"/>
      <c r="CU13" s="9">
        <f t="shared" si="0"/>
        <v>0</v>
      </c>
      <c r="CV13" s="9">
        <f>IF(COUNT($BK13:$BO13)=0,0,AVERAGE($BK13:$BO13))</f>
        <v>0</v>
      </c>
      <c r="CW13" s="9">
        <f>IF(COUNT($BP13:$BW13)=0,0,AVERAGE($BP13:$BW13))</f>
        <v>0</v>
      </c>
      <c r="CX13" s="9">
        <f>IF(COUNT($BX13:$CN13)=0,0,AVERAGE($BX13:$CN13))</f>
        <v>0</v>
      </c>
      <c r="CY13" s="9">
        <f t="shared" si="1"/>
        <v>0</v>
      </c>
      <c r="CZ13" s="9">
        <f t="shared" si="2"/>
        <v>0</v>
      </c>
      <c r="DA13" s="9">
        <f t="shared" si="3"/>
        <v>0</v>
      </c>
    </row>
    <row r="14" spans="1:105" x14ac:dyDescent="0.3">
      <c r="A14" s="43">
        <v>11</v>
      </c>
      <c r="B14" s="16" t="s">
        <v>70</v>
      </c>
      <c r="C14" s="37"/>
      <c r="D14" s="3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37"/>
      <c r="AC14" s="43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44"/>
      <c r="BK14" s="43"/>
      <c r="BL14" s="15"/>
      <c r="BM14" s="15"/>
      <c r="BN14" s="15"/>
      <c r="BO14" s="44"/>
      <c r="BP14" s="43"/>
      <c r="BQ14" s="15"/>
      <c r="BR14" s="15"/>
      <c r="BS14" s="15"/>
      <c r="BT14" s="15"/>
      <c r="BU14" s="15"/>
      <c r="BV14" s="15"/>
      <c r="BW14" s="44"/>
      <c r="BX14" s="36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37"/>
      <c r="CO14" s="36"/>
      <c r="CP14" s="17"/>
      <c r="CQ14" s="37"/>
      <c r="CR14" s="36"/>
      <c r="CS14" s="17"/>
      <c r="CT14" s="37"/>
      <c r="CU14" s="9">
        <f t="shared" si="0"/>
        <v>0</v>
      </c>
      <c r="CV14" s="9">
        <f>IF(COUNT($BK14:$BO14)=0,0,AVERAGE($BK14:$BO14))</f>
        <v>0</v>
      </c>
      <c r="CW14" s="9">
        <f>IF(COUNT($BP14:$BW14)=0,0,AVERAGE($BP14:$BW14))</f>
        <v>0</v>
      </c>
      <c r="CX14" s="9">
        <f>IF(COUNT($BX14:$CN14)=0,0,AVERAGE($BX14:$CN14))</f>
        <v>0</v>
      </c>
      <c r="CY14" s="9">
        <f t="shared" si="1"/>
        <v>0</v>
      </c>
      <c r="CZ14" s="9">
        <f t="shared" si="2"/>
        <v>0</v>
      </c>
      <c r="DA14" s="9">
        <f t="shared" si="3"/>
        <v>0</v>
      </c>
    </row>
    <row r="15" spans="1:105" x14ac:dyDescent="0.3">
      <c r="A15" s="43">
        <v>12</v>
      </c>
      <c r="B15" s="16" t="s">
        <v>71</v>
      </c>
      <c r="C15" s="37"/>
      <c r="D15" s="3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37"/>
      <c r="AC15" s="43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44"/>
      <c r="BK15" s="43"/>
      <c r="BL15" s="15"/>
      <c r="BM15" s="15"/>
      <c r="BN15" s="15"/>
      <c r="BO15" s="44"/>
      <c r="BP15" s="43"/>
      <c r="BQ15" s="15"/>
      <c r="BR15" s="15"/>
      <c r="BS15" s="15"/>
      <c r="BT15" s="15"/>
      <c r="BU15" s="15"/>
      <c r="BV15" s="15"/>
      <c r="BW15" s="44"/>
      <c r="BX15" s="36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37"/>
      <c r="CO15" s="36"/>
      <c r="CP15" s="17"/>
      <c r="CQ15" s="37"/>
      <c r="CR15" s="36"/>
      <c r="CS15" s="17"/>
      <c r="CT15" s="37"/>
      <c r="CU15" s="9">
        <f t="shared" si="0"/>
        <v>0</v>
      </c>
      <c r="CV15" s="9">
        <f>IF(COUNT($BK15:$BO15)=0,0,AVERAGE($BK15:$BO15))</f>
        <v>0</v>
      </c>
      <c r="CW15" s="9">
        <f>IF(COUNT($BP15:$BW15)=0,0,AVERAGE($BP15:$BW15))</f>
        <v>0</v>
      </c>
      <c r="CX15" s="9">
        <f>IF(COUNT($BX15:$CN15)=0,0,AVERAGE($BX15:$CN15))</f>
        <v>0</v>
      </c>
      <c r="CY15" s="9">
        <f t="shared" si="1"/>
        <v>0</v>
      </c>
      <c r="CZ15" s="9">
        <f t="shared" si="2"/>
        <v>0</v>
      </c>
      <c r="DA15" s="9">
        <f t="shared" si="3"/>
        <v>0</v>
      </c>
    </row>
    <row r="16" spans="1:105" x14ac:dyDescent="0.3">
      <c r="A16" s="43">
        <v>13</v>
      </c>
      <c r="B16" s="16" t="s">
        <v>72</v>
      </c>
      <c r="C16" s="37"/>
      <c r="D16" s="3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37"/>
      <c r="AC16" s="43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44"/>
      <c r="BK16" s="43"/>
      <c r="BL16" s="15"/>
      <c r="BM16" s="15"/>
      <c r="BN16" s="15"/>
      <c r="BO16" s="44"/>
      <c r="BP16" s="43"/>
      <c r="BQ16" s="15"/>
      <c r="BR16" s="15"/>
      <c r="BS16" s="15"/>
      <c r="BT16" s="15"/>
      <c r="BU16" s="15"/>
      <c r="BV16" s="15"/>
      <c r="BW16" s="44"/>
      <c r="BX16" s="36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37"/>
      <c r="CO16" s="36"/>
      <c r="CP16" s="17"/>
      <c r="CQ16" s="37"/>
      <c r="CR16" s="36"/>
      <c r="CS16" s="17"/>
      <c r="CT16" s="37"/>
      <c r="CU16" s="9">
        <f t="shared" si="0"/>
        <v>0</v>
      </c>
      <c r="CV16" s="9">
        <f>IF(COUNT($BK16:$BO16)=0,0,AVERAGE($BK16:$BO16))</f>
        <v>0</v>
      </c>
      <c r="CW16" s="9">
        <f>IF(COUNT($BP16:$BW16)=0,0,AVERAGE($BP16:$BW16))</f>
        <v>0</v>
      </c>
      <c r="CX16" s="9">
        <f>IF(COUNT($BX16:$CN16)=0,0,AVERAGE($BX16:$CN16))</f>
        <v>0</v>
      </c>
      <c r="CY16" s="9">
        <f t="shared" si="1"/>
        <v>0</v>
      </c>
      <c r="CZ16" s="9">
        <f t="shared" si="2"/>
        <v>0</v>
      </c>
      <c r="DA16" s="9">
        <f t="shared" si="3"/>
        <v>0</v>
      </c>
    </row>
    <row r="17" spans="1:105" x14ac:dyDescent="0.3">
      <c r="A17" s="43">
        <v>14</v>
      </c>
      <c r="B17" s="18" t="s">
        <v>73</v>
      </c>
      <c r="C17" s="37"/>
      <c r="D17" s="3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37"/>
      <c r="AC17" s="43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44"/>
      <c r="BK17" s="43"/>
      <c r="BL17" s="15"/>
      <c r="BM17" s="15"/>
      <c r="BN17" s="15"/>
      <c r="BO17" s="44"/>
      <c r="BP17" s="43"/>
      <c r="BQ17" s="15"/>
      <c r="BR17" s="15"/>
      <c r="BS17" s="15"/>
      <c r="BT17" s="15"/>
      <c r="BU17" s="15"/>
      <c r="BV17" s="15"/>
      <c r="BW17" s="44"/>
      <c r="BX17" s="36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37"/>
      <c r="CO17" s="36"/>
      <c r="CP17" s="17"/>
      <c r="CQ17" s="37"/>
      <c r="CR17" s="36"/>
      <c r="CS17" s="17"/>
      <c r="CT17" s="37"/>
      <c r="CU17" s="9">
        <f t="shared" si="0"/>
        <v>0</v>
      </c>
      <c r="CV17" s="9">
        <f>IF(COUNT($BK17:$BO17)=0,0,AVERAGE($BK17:$BO17))</f>
        <v>0</v>
      </c>
      <c r="CW17" s="9">
        <f>IF(COUNT($BP17:$BW17)=0,0,AVERAGE($BP17:$BW17))</f>
        <v>0</v>
      </c>
      <c r="CX17" s="9">
        <f>IF(COUNT($BX17:$CN17)=0,0,AVERAGE($BX17:$CN17))</f>
        <v>0</v>
      </c>
      <c r="CY17" s="9">
        <f t="shared" si="1"/>
        <v>0</v>
      </c>
      <c r="CZ17" s="9">
        <f t="shared" si="2"/>
        <v>0</v>
      </c>
      <c r="DA17" s="9">
        <f t="shared" si="3"/>
        <v>0</v>
      </c>
    </row>
    <row r="18" spans="1:105" x14ac:dyDescent="0.3">
      <c r="A18" s="43">
        <v>15</v>
      </c>
      <c r="B18" s="16" t="s">
        <v>74</v>
      </c>
      <c r="C18" s="37"/>
      <c r="D18" s="3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37"/>
      <c r="AC18" s="43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44"/>
      <c r="BK18" s="43"/>
      <c r="BL18" s="15"/>
      <c r="BM18" s="15"/>
      <c r="BN18" s="15"/>
      <c r="BO18" s="44"/>
      <c r="BP18" s="43"/>
      <c r="BQ18" s="15"/>
      <c r="BR18" s="15"/>
      <c r="BS18" s="15"/>
      <c r="BT18" s="15"/>
      <c r="BU18" s="15"/>
      <c r="BV18" s="15"/>
      <c r="BW18" s="44"/>
      <c r="BX18" s="36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37"/>
      <c r="CO18" s="36"/>
      <c r="CP18" s="17"/>
      <c r="CQ18" s="37"/>
      <c r="CR18" s="36"/>
      <c r="CS18" s="17"/>
      <c r="CT18" s="37"/>
      <c r="CU18" s="9">
        <f t="shared" si="0"/>
        <v>0</v>
      </c>
      <c r="CV18" s="9">
        <f>IF(COUNT($BK18:$BO18)=0,0,AVERAGE($BK18:$BO18))</f>
        <v>0</v>
      </c>
      <c r="CW18" s="9">
        <f>IF(COUNT($BP18:$BW18)=0,0,AVERAGE($BP18:$BW18))</f>
        <v>0</v>
      </c>
      <c r="CX18" s="9">
        <f>IF(COUNT($BX18:$CN18)=0,0,AVERAGE($BX18:$CN18))</f>
        <v>0</v>
      </c>
      <c r="CY18" s="9">
        <f t="shared" si="1"/>
        <v>0</v>
      </c>
      <c r="CZ18" s="9">
        <f t="shared" si="2"/>
        <v>0</v>
      </c>
      <c r="DA18" s="9">
        <f t="shared" si="3"/>
        <v>0</v>
      </c>
    </row>
    <row r="19" spans="1:105" x14ac:dyDescent="0.3"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CU19" s="4"/>
      <c r="CV19" s="4"/>
      <c r="CW19" s="4"/>
      <c r="CX19" s="4"/>
      <c r="CY19" s="4"/>
      <c r="CZ19" s="4"/>
      <c r="DA19" s="4"/>
    </row>
  </sheetData>
  <mergeCells count="17">
    <mergeCell ref="CW1:CW3"/>
    <mergeCell ref="CX1:CX3"/>
    <mergeCell ref="CY1:CY3"/>
    <mergeCell ref="CZ1:CZ3"/>
    <mergeCell ref="DA1:DA3"/>
    <mergeCell ref="D1:AB2"/>
    <mergeCell ref="AC1:BJ2"/>
    <mergeCell ref="BP1:BW2"/>
    <mergeCell ref="BX1:CN2"/>
    <mergeCell ref="CO1:CQ2"/>
    <mergeCell ref="CR1:CT2"/>
    <mergeCell ref="CU1:CU3"/>
    <mergeCell ref="CV1:CV3"/>
    <mergeCell ref="A1:A3"/>
    <mergeCell ref="B1:B3"/>
    <mergeCell ref="C1:C3"/>
    <mergeCell ref="BK1:B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ФИ21_1</vt:lpstr>
      <vt:lpstr>ФИ21_2</vt:lpstr>
      <vt:lpstr>ФИ22_1</vt:lpstr>
      <vt:lpstr>ФИ22_2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2025-09-02T13:54:07Z</dcterms:created>
  <dcterms:modified xsi:type="dcterms:W3CDTF">2025-09-02T17:12:12Z</dcterms:modified>
</cp:coreProperties>
</file>